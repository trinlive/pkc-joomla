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120" windowWidth="12120" windowHeight="9120"/>
  </bookViews>
  <sheets>
    <sheet name="สิ่งที่ส่งมาด้วย 1" sheetId="1" r:id="rId1"/>
    <sheet name="สิ่งที่ส่งมาด้วย 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1108" i="1"/>
  <c r="E858"/>
  <c r="E643"/>
  <c r="E606"/>
  <c r="E471"/>
  <c r="E361"/>
  <c r="E253"/>
  <c r="E117"/>
  <c r="E98"/>
  <c r="E97"/>
  <c r="E1229" s="1"/>
  <c r="E14"/>
  <c r="E13" s="1"/>
  <c r="E857"/>
  <c r="E812"/>
  <c r="E784"/>
  <c r="E783" s="1"/>
  <c r="E234"/>
  <c r="E116"/>
  <c r="E1220"/>
  <c r="E605"/>
  <c r="E470" s="1"/>
  <c r="E362"/>
  <c r="E252"/>
  <c r="E235"/>
  <c r="E223"/>
  <c r="E222" s="1"/>
  <c r="E264" i="2"/>
  <c r="G163"/>
  <c r="F26" i="3"/>
  <c r="E1227" i="1" l="1"/>
  <c r="E642"/>
  <c r="E811"/>
  <c r="E1231"/>
</calcChain>
</file>

<file path=xl/sharedStrings.xml><?xml version="1.0" encoding="utf-8"?>
<sst xmlns="http://schemas.openxmlformats.org/spreadsheetml/2006/main" count="2651" uniqueCount="1495">
  <si>
    <t>จัดงาน / นิทรรศการ  กิจกรรมเพื่อ</t>
  </si>
  <si>
    <t>และผู้ประกอบการสินค้า OTOP</t>
  </si>
  <si>
    <t>พัฒนารูปแบบและคุณภาพ</t>
  </si>
  <si>
    <t>ผลิตภัณฑ์ชุมชน</t>
  </si>
  <si>
    <t>และปัญหาความเดือดร้อน</t>
  </si>
  <si>
    <t>ช่วยเหลือผู้ประสบสาธารณภัย</t>
  </si>
  <si>
    <t>สำนักการช่าง</t>
  </si>
  <si>
    <t>จ้างเหมาทาสีตีเส้นจราจร  และติดตั้ง</t>
  </si>
  <si>
    <t>อุปกรณ์เพื่อความปลอดภัยทางถนน</t>
  </si>
  <si>
    <t>ขุดลอกคูคลองสาธารณะ</t>
  </si>
  <si>
    <t>จ้างเหมาทำความสะอาด  ขุดลอก</t>
  </si>
  <si>
    <t>และปรับปรุงภูมิทัศน์คูคลองและ</t>
  </si>
  <si>
    <t>ลำรางสาธารณะ</t>
  </si>
  <si>
    <t>บ้านท้องถิ่นไทยเทิดไท้องค์ราชัน</t>
  </si>
  <si>
    <t>จัดซื้อวัสดุก่อสร้างเพื่อดำเนินการ</t>
  </si>
  <si>
    <t>ก่อสร้างปรับปรุงถนน ค.ส.ล. และ</t>
  </si>
  <si>
    <t xml:space="preserve">ก่อสร้างปรับปรุงถนน ค.ส.ล. </t>
  </si>
  <si>
    <t>ก่อสร้างปรับปรุงถนน ค.ส.ล. กว้าง</t>
  </si>
  <si>
    <t xml:space="preserve">ปากเกร็ด </t>
  </si>
  <si>
    <t>รวมโครงการสำคัญของ</t>
  </si>
  <si>
    <t>ทุกส่วนราชการ</t>
  </si>
  <si>
    <t>รวมรายจ่ายตามโครงการ</t>
  </si>
  <si>
    <t>สำคัญและค่าที่ดินฯ ทั้งสิ้น</t>
  </si>
  <si>
    <t>ก. โครงการสำคัญ</t>
  </si>
  <si>
    <t>ข. ค่าที่ดินและสิ่งก่อสร้าง</t>
  </si>
  <si>
    <t>ท่องเที่ยว  จัดประชุมคณะกรรมการ</t>
  </si>
  <si>
    <t>ในชุมชน</t>
  </si>
  <si>
    <t>อาหาร</t>
  </si>
  <si>
    <t>ชื่อโครงการ/กิจกรรม</t>
  </si>
  <si>
    <t>ลักษณะกิจกรรม</t>
  </si>
  <si>
    <t>สถานที่ดำเนินการ</t>
  </si>
  <si>
    <t>จำนวนเงิน</t>
  </si>
  <si>
    <t>ซอยข้างโรงงานสารส้ม</t>
  </si>
  <si>
    <t xml:space="preserve">ซอยเมนหมู่บ้านโชคประชาวิลล่า </t>
  </si>
  <si>
    <t>(ส่วนที่เหลือ)</t>
  </si>
  <si>
    <t>ถนนเลียบคลองประปา</t>
  </si>
  <si>
    <t>(สถานีอนามัย)</t>
  </si>
  <si>
    <t>นครปากเกร็ด</t>
  </si>
  <si>
    <t>ซอยชูชาติอนุสรณ์</t>
  </si>
  <si>
    <t>ซอยหมู่บ้านมิตรประชา</t>
  </si>
  <si>
    <t>ที่</t>
  </si>
  <si>
    <t>ลำดับ</t>
  </si>
  <si>
    <t>ซอยประชาสงเคราะห์</t>
  </si>
  <si>
    <t>ปรับปรุงและตกแต่งห้องวิทยุ</t>
  </si>
  <si>
    <t>สื่อสาร  ห้องทำงาน  ห้องประชุม</t>
  </si>
  <si>
    <t>ห้องพักเวร  และห้องเก็บอุปกรณ์</t>
  </si>
  <si>
    <t>พร้อมติดตั้งครุภัณฑ์สำนักงาน</t>
  </si>
  <si>
    <t>เทศบาลนครปากเกร็ด</t>
  </si>
  <si>
    <t>อำเภอปากเกร็ด   จังหวัดนนทบุรี</t>
  </si>
  <si>
    <t xml:space="preserve"> - ปรับปรุงศูนย์บริการการท่องเที่ยว</t>
  </si>
  <si>
    <t>จัดทำเคาน์เตอร์ประชาสัมพันธ์</t>
  </si>
  <si>
    <t>การท่องเที่ยว     จำนวน</t>
  </si>
  <si>
    <t>ด้านบนเคาน์เตอร์และเสาปูน</t>
  </si>
  <si>
    <t>ศูนย์บริการการท่องเที่ยว</t>
  </si>
  <si>
    <t xml:space="preserve"> - ปรับปรุงห้องทำงานศูนย์บริการการท่องเที่ยว</t>
  </si>
  <si>
    <t>ตกแต่งห้องทำงาน   จำนวน</t>
  </si>
  <si>
    <t>นายกเทศมนตรีนครปากเกร็ด</t>
  </si>
  <si>
    <t>จัดทำศูนย์บริการการท่องเที่ยวที่ท่าน้ำปากเกร็ด</t>
  </si>
  <si>
    <t xml:space="preserve">หัวถนนแจ้งวัฒนะ  </t>
  </si>
  <si>
    <t xml:space="preserve">       "                               "</t>
  </si>
  <si>
    <t xml:space="preserve">บริเวณท่าน้ำปากเกร็ด    </t>
  </si>
  <si>
    <t>ปรับปรุงห้องเรียน  อาคารเรียน</t>
  </si>
  <si>
    <t>ปูกระเบื้อง  และจัดทำกันสาด</t>
  </si>
  <si>
    <t>โรงเรียนวัดโพธิ์บ้านอ้อย</t>
  </si>
  <si>
    <t>ถมดินและปรับปรุงพื้นที่ที่ใช้เป็น</t>
  </si>
  <si>
    <t>ที่พักรถบรรทุกขยะ     พื้นที่</t>
  </si>
  <si>
    <t>ถนนและทางระบายน้ำ</t>
  </si>
  <si>
    <t>บริเวณที่ดินของเทศบาลนคร</t>
  </si>
  <si>
    <t xml:space="preserve">ต.บ้านใหม่   </t>
  </si>
  <si>
    <t xml:space="preserve">ต.ปากเกร็ด   </t>
  </si>
  <si>
    <t>ปากเกร็ด    ถ.ศรีสมาน</t>
  </si>
  <si>
    <t>จัดหาพื้นที่พักรถบรรทุกขยะและโรงเก็บพัสดุ</t>
  </si>
  <si>
    <t>ศูนย์พัฒนาเด็กเล็ก</t>
  </si>
  <si>
    <t>พัฒนาและปรับปรุงอาคารสถานที่และอุปกรณ์</t>
  </si>
  <si>
    <t>ศูนย์พัฒนาเด็กเล็กที่ได้รับถ่ายโอน</t>
  </si>
  <si>
    <t>ก่อสร้างอาคารเป็นศูนย์บริการแพทย์แผนไทย</t>
  </si>
  <si>
    <t>บริเวณงานป้องกันและบรรเทาสาธารณภัยฯ</t>
  </si>
  <si>
    <t>รื้ออาคารเดิมและก่อสร้างใหม่</t>
  </si>
  <si>
    <t>บรรเทาสาธารณภัย  เทศบาล</t>
  </si>
  <si>
    <t>นครปากเกร็ด   ต.ปากเกร็ด</t>
  </si>
  <si>
    <t>ปรับปรุงพื้นที่ศูนย์ฝึกอาชีพและจำหน่ายผลิตภัณฑ์</t>
  </si>
  <si>
    <t>ชุมชน</t>
  </si>
  <si>
    <t xml:space="preserve">  - ตกแต่งซุ้มประตูทางเข้าศูนย์</t>
  </si>
  <si>
    <t>ศูนย์ฝึกอาชีพและจำหน่าย</t>
  </si>
  <si>
    <t>โดยประมาณ</t>
  </si>
  <si>
    <t xml:space="preserve">  - ตกแต่งทำกล่องหุ้มคานรอบ</t>
  </si>
  <si>
    <t xml:space="preserve">  - ตกแต่งฝ้าเพดาน  ขนาดพื้นที่</t>
  </si>
  <si>
    <t xml:space="preserve">  - ตกแต่งผนังห้องอบรม  ขนาด</t>
  </si>
  <si>
    <t xml:space="preserve">  - จัดทำสเต๊ปเวทีพร้อมติดตั้ง</t>
  </si>
  <si>
    <t>และตกแต่งห้องอบรม  ขนาด</t>
  </si>
  <si>
    <t>ซอยชูชาติอนุสรณ์  (ส่วนที่เหลือ)</t>
  </si>
  <si>
    <t>ก่อสร้างปรับปรุงถนน ค.ส.ล. และท่อระบายน้ำ</t>
  </si>
  <si>
    <t>ก่อสร้างถนน ค.ส.ล.  ขนาด</t>
  </si>
  <si>
    <t>โดยประมาณ    พร้อมวางท่อ</t>
  </si>
  <si>
    <t>ระบายน้ำและบ่อพักทั้งสองฝั่ง</t>
  </si>
  <si>
    <t>ซอยเมนชูชาติอนุสรณ์  (ส่วนที่เหลือ)</t>
  </si>
  <si>
    <t>ซอยเวชคาม   ถนนเลียบคลองประปา</t>
  </si>
  <si>
    <t>ซอยเวชคาม   ถนนเลียบ</t>
  </si>
  <si>
    <t>ซอยสหกรณ์ซอยแยก</t>
  </si>
  <si>
    <t>ระบายน้ำและบ่อพักฝั่งเดียว</t>
  </si>
  <si>
    <t>ก่อสร้างปรับปรุงถนนลาดยางแอสฟัลท์ติกคอนกรีต</t>
  </si>
  <si>
    <t>ก่อสร้างเขื่อนบริเวณวัดบางพัง</t>
  </si>
  <si>
    <t>ก่อสร้างบ่อสูบน้ำบริเวณวัดโพธิ์ทองบน</t>
  </si>
  <si>
    <t>ก่อสร้างบ่อสูบน้ำบริเวณท้ายคลองบ้านเก่า</t>
  </si>
  <si>
    <t>ก่อสร้างสถานีสูบน้ำบริเวณคลองบางพัง</t>
  </si>
  <si>
    <t>ปรับปรุงระบบระบายน้ำบริเวณวัดโพธิ์บ้านอ้อย</t>
  </si>
  <si>
    <t>ปรับปรุงระบบระบายน้ำบริเวณ ม.ศรีทับทิม</t>
  </si>
  <si>
    <t>ปรับปรุงระบบระบายน้ำบริเวณคลองขี้เหล็ก</t>
  </si>
  <si>
    <t>ปรับปรุงระบบระบายน้ำบริเวณคลองบ้านเก่า</t>
  </si>
  <si>
    <t>ติดตั้งประตูระบายน้ำ บริเวณซอยคานเรือ</t>
  </si>
  <si>
    <t>ก่อสร้างศาลาที่พักผู้โดยสารภายในเขตเทศบาล</t>
  </si>
  <si>
    <t>ซอยแยกหมู่บ้านโชคประชา -</t>
  </si>
  <si>
    <t>ซอยเมนหมู่บ้านโชคประชา -</t>
  </si>
  <si>
    <t>ซอยแยกแจ้งวัฒนะ  -</t>
  </si>
  <si>
    <t>ก่อสร้างทางเดินเท้า ค.ส.ล.ซอยหลังโรงงานมติชน</t>
  </si>
  <si>
    <t>ซอยหลังโรงงานมติชน</t>
  </si>
  <si>
    <t xml:space="preserve">ก่อสร้างทางเดินเท้า ค.ส.ล.  </t>
  </si>
  <si>
    <t>ระบายน้ำและบ่อพัก</t>
  </si>
  <si>
    <t>ก่อสร้างสะพานทางเดินเท้า ค.ส.ล. เลียบคลองบางพัง</t>
  </si>
  <si>
    <t>บริเวณคลองบางพัง</t>
  </si>
  <si>
    <t>ก่อสร้างสะพานทางเดินเท้า</t>
  </si>
  <si>
    <t>ปรับปรุงถนนโดยเสริมผิว</t>
  </si>
  <si>
    <t>แอสฟัลท์ติกคอนกรีต   ขนาด</t>
  </si>
  <si>
    <t>ก่อสร้างและปรับปรุงทางเดินเท้า ค.ส.ล.  พร้อมท่อ</t>
  </si>
  <si>
    <t>ระบายน้ำ    บริเวณชุมชนปากคลองวัดบางพัง</t>
  </si>
  <si>
    <t xml:space="preserve">ชุมชนปากคลองวัดบางพัง </t>
  </si>
  <si>
    <t xml:space="preserve">  -  ก่อสร้างทางเดินเท้า ค.ส.ล.</t>
  </si>
  <si>
    <t xml:space="preserve">  -  ปรับปรุงทางเดินเท้า ค.ส.ล.</t>
  </si>
  <si>
    <t>โดยประมาณ  พร้อมลงหินคลุก</t>
  </si>
  <si>
    <t xml:space="preserve">ประมาณ  พร้อมวางท่อระบายน้ำ  </t>
  </si>
  <si>
    <t>ก่อสร้างเขื่อน ค.ส.ล.  รวมความ</t>
  </si>
  <si>
    <t xml:space="preserve">ก่อสร้างเขื่อนบริเวณริมถนนภูมิเวท </t>
  </si>
  <si>
    <t>คลองบางตลาดน้อย</t>
  </si>
  <si>
    <t>ถนนภูมิเวท   คลองบางตลาด</t>
  </si>
  <si>
    <t>ก่อสร้างเขื่อนบริเวณคลองแวะ (ส่วนที่เหลือ)</t>
  </si>
  <si>
    <t>ก่อสร้างแนวป้องกันการรั่วซึมของเขื่อนวัดเกาะ</t>
  </si>
  <si>
    <t>พญาเจ่ง</t>
  </si>
  <si>
    <t>ก่อสร้างแนวป้องกันการรั่วซึม</t>
  </si>
  <si>
    <t>ก่อสร้างบ่อสูบน้ำ ค.ส.ล.</t>
  </si>
  <si>
    <t>ก่อสร้างสถานีสูบน้ำ ค.ส.ล.</t>
  </si>
  <si>
    <t>สถานีอนามัย วัดโพธิ์บ้านอ้อย</t>
  </si>
  <si>
    <t>ก่อสร้างวางท่อระบายน้ำ</t>
  </si>
  <si>
    <t>ก่อสร้างและปรับปรุงท่อลอด</t>
  </si>
  <si>
    <t>ถนนที่ตัดผ่านคลองขี้เหล็ก</t>
  </si>
  <si>
    <t xml:space="preserve">เป็นท่อเหลี่ยม   ขนาดประมาณ </t>
  </si>
  <si>
    <t>คลองขี้เหล็ก  ม.ประชาชื่น</t>
  </si>
  <si>
    <t>ถนนทางเข้าสวนสมเด็จฯ  ที่ตัด</t>
  </si>
  <si>
    <t>ผ่านคลองบ้านเก่า เป็นท่อเหลี่ยม</t>
  </si>
  <si>
    <t>ก่อสร้างติดตั้งประตูระบายน้ำ</t>
  </si>
  <si>
    <t>ต.ปากเกร็ด</t>
  </si>
  <si>
    <t>ก่อสร้างศาลาที่พักผู้โดยสาร</t>
  </si>
  <si>
    <t>ภายในเขตเทศบาลนคร</t>
  </si>
  <si>
    <t>บริเวณท่าน้ำวัดบางพัง</t>
  </si>
  <si>
    <t>การท่องเที่ยวริมน้ำ    บริเวณวัดโพธิ์ทองบน</t>
  </si>
  <si>
    <t>ปรับปรุงโป๊ะท่าเทียบเรือของเดิมเป็นแพเพื่อ</t>
  </si>
  <si>
    <t>การท่องเที่ยวริมน้ำ    บริเวณวัดช่องลม</t>
  </si>
  <si>
    <t>การท่องเที่ยวริมน้ำและก่อสร้างโป๊ะท่าเทียบเรือใหม่</t>
  </si>
  <si>
    <t>การท่องเที่ยวริมน้ำ   บริเวณวัดโพธิ์บ้านอ้อย</t>
  </si>
  <si>
    <t>การท่องเที่ยวริมน้ำ   บริเวณวัดสลักเหนือ</t>
  </si>
  <si>
    <t>การท่องเที่ยวริมน้ำ   บริเวณวัดกลางเกร็ด</t>
  </si>
  <si>
    <t>การท่องเที่ยวริมน้ำ   บริเวณวัดเกาะพญาเจ่ง</t>
  </si>
  <si>
    <t>การท่องเที่ยวริมน้ำ   บริเวณวัดหงษ์ทอง</t>
  </si>
  <si>
    <t>ก่อสร้างโครงหลังคาเหล็กบนโป๊ะ</t>
  </si>
  <si>
    <t>และก่อสร้างโป๊ะท่าเทียบเรือใหม่</t>
  </si>
  <si>
    <t>(นายวิชัย    บรรดาศักดิ์)</t>
  </si>
  <si>
    <t>ปรับปรุงพื้นที่อาคารสำนักงาน</t>
  </si>
  <si>
    <t xml:space="preserve"> - ปรับปรุงอาคาร สนง.ป้องกันและบรรเทาสาธารณภัย </t>
  </si>
  <si>
    <t>ปรับปรุงศูนย์บริการร่วม</t>
  </si>
  <si>
    <t>ปรับปรุงอาคารสำนักงานเทศบาล</t>
  </si>
  <si>
    <t>ทำประตู   พร้อมตกแต่ง    ติดตั้ง</t>
  </si>
  <si>
    <t>เครื่องปรับอากาศ    และจัดทำ</t>
  </si>
  <si>
    <t xml:space="preserve">  -  ปรับปรุงศูนย์พัฒนาเด็กเล็กที่ได้รับถ่ายโอน</t>
  </si>
  <si>
    <t xml:space="preserve">โครงเหล็ก    ขนาดประมาณ </t>
  </si>
  <si>
    <t xml:space="preserve">  - ปรับปรุงพื้นที่และถมดินที่พักรถบรรทุกขยะ</t>
  </si>
  <si>
    <t>อาคารสำนักงานป้องกันและ</t>
  </si>
  <si>
    <t xml:space="preserve">บริเวณหลังโบสถ์วัดบางพัง  </t>
  </si>
  <si>
    <t>โดยประมาณ   ติดตั้งเครื่องสูบน้ำ</t>
  </si>
  <si>
    <t>และก่อสร้างทางเดินเท้า ค.ส.ล.</t>
  </si>
  <si>
    <t>ติดตั้งเครื่องสูบน้ำแบบจุ่มในน้ำ</t>
  </si>
  <si>
    <t>โดยประมาณ  พร้อมบ่อพัก ค.ส.ล.</t>
  </si>
  <si>
    <t xml:space="preserve">ต.บางตลาด </t>
  </si>
  <si>
    <t>คลองประปา  ต.บางตลาด</t>
  </si>
  <si>
    <t>ต.บ้านใหม่</t>
  </si>
  <si>
    <t>ต.บางพูด</t>
  </si>
  <si>
    <t>วิลล่า  ต.บางตลาด</t>
  </si>
  <si>
    <t>(ทางเข้าวัดกู้)  ต.บางพูด</t>
  </si>
  <si>
    <t>ต.คลองเกลือ     ต.บางพูด</t>
  </si>
  <si>
    <t>วัดบางพัง  ต.บางพูด</t>
  </si>
  <si>
    <t>วัดช่องลม  ต.บ้านใหม่</t>
  </si>
  <si>
    <t>วัดโพธิ์ทองบน  ต.บ้านใหม่</t>
  </si>
  <si>
    <t>วัดโพธิ์บ้านอ้อย  ต.บางพูด</t>
  </si>
  <si>
    <t>วัดสลักเหนือ  ต.บ้านใหม่</t>
  </si>
  <si>
    <t>วัดกลางเกร็ด  ต.บางตลาด</t>
  </si>
  <si>
    <t>วัดเกาะพญาเจ่ง  ต.ปากเกร็ด</t>
  </si>
  <si>
    <t>วัดหงษ์ทอง  ต.บางพูด</t>
  </si>
  <si>
    <t>น้อย   ต.บางตลาด</t>
  </si>
  <si>
    <t>คลองแวะ  ต.บางตลาด</t>
  </si>
  <si>
    <t>วัดโพธิ์ทองบน  ต.บางพูด</t>
  </si>
  <si>
    <t>ต.คลองเกลือ</t>
  </si>
  <si>
    <t>ท้ายคลองบ้านเก่า  ต.บ้านใหม่</t>
  </si>
  <si>
    <t>คลองบางพัง  ต.บางพูด</t>
  </si>
  <si>
    <t>ม.ศรีทับทิม  ต.บางพูด</t>
  </si>
  <si>
    <t>ต.บางตลาด</t>
  </si>
  <si>
    <t>คลองบ้านเก่า   ต.บ้านใหม่</t>
  </si>
  <si>
    <t>ซอยคานเรือ  ต.ปากเกร็ด</t>
  </si>
  <si>
    <t xml:space="preserve">ปากเกร็ด    </t>
  </si>
  <si>
    <t xml:space="preserve">ต.บางพูด                        </t>
  </si>
  <si>
    <t xml:space="preserve">ผลิตภัณฑ์ชุมชน ต.บางตลาด  </t>
  </si>
  <si>
    <t>จัดซื้อครุภัณฑ์สำนักปลัดเทศบาล</t>
  </si>
  <si>
    <t>จัดซื้อรถยนต์ดับเพลิงโฟมและเคมี</t>
  </si>
  <si>
    <t>ติดตั้งกล้องวงจรปิด CCTV</t>
  </si>
  <si>
    <t>ติดตั้งระบบกล้องวงจรปิดพร้อม</t>
  </si>
  <si>
    <t>และภายในเขตเทศบาลฯ</t>
  </si>
  <si>
    <t>จัดหาครุภัณฑ์และอุปกรณ์ประจำศูนย์บริการ</t>
  </si>
  <si>
    <t xml:space="preserve">  -  จัดซื้อเครื่องสูบผลักดันน้ำ </t>
  </si>
  <si>
    <t xml:space="preserve">  -  จัดซื้อรถยนต์ดูดสิ่งโสโครก</t>
  </si>
  <si>
    <t>และฉีดล้างท่อระบายน้ำ  พร้อม</t>
  </si>
  <si>
    <t>เครื่องมือและอุปกรณ์ประจำรถ</t>
  </si>
  <si>
    <t>บรรเทาสาธารณภัย    ซอย</t>
  </si>
  <si>
    <t>ประชาสงเคราะห์  ต.บางตลาด</t>
  </si>
  <si>
    <t>ปากเกร็ด    ต.ปากเกร็ด</t>
  </si>
  <si>
    <t>รวมเป็นเงินทั้งสิ้น</t>
  </si>
  <si>
    <t xml:space="preserve">   เทศบาลนครปากเกร็ด  ต. ปากเกร็ด  จ. นนทบุรี</t>
  </si>
  <si>
    <t>ปากเกร็ด</t>
  </si>
  <si>
    <t>เทศบาล</t>
  </si>
  <si>
    <t>สำนักปลัดเทศบาล</t>
  </si>
  <si>
    <t>กองวิชาการและแผนงาน</t>
  </si>
  <si>
    <t>สำนักการคลัง</t>
  </si>
  <si>
    <t>กองการศึกษา</t>
  </si>
  <si>
    <t xml:space="preserve"> </t>
  </si>
  <si>
    <t>ในเขตเทศบาล</t>
  </si>
  <si>
    <t>จัดกิจกรรมประชาสัมพันธ์  และการ</t>
  </si>
  <si>
    <t>ให้บริการเคลื่อนที่ด้านงานทะเบียน</t>
  </si>
  <si>
    <t>ราษฎรและบัตรประจำตัวประชาชน</t>
  </si>
  <si>
    <t>และด้านอื่น ๆ ที่เกี่ยวข้อง</t>
  </si>
  <si>
    <t>จัดกิจกรรมตามนโยบายของ</t>
  </si>
  <si>
    <t>หน่วยงานภาครัฐ</t>
  </si>
  <si>
    <t>รณรงค์และแก้ไขปัญหา</t>
  </si>
  <si>
    <t>ยาเสพติด</t>
  </si>
  <si>
    <t>ป้องกันและแก้ไขปัญหายาเสพติด</t>
  </si>
  <si>
    <t>ส่งเสริมการท่องเที่ยว</t>
  </si>
  <si>
    <t>จัดงาน / กิจกรรมเพื่อส่งเสริมการ</t>
  </si>
  <si>
    <t>ป้องกันและบรรเทาสาธารณภัย</t>
  </si>
  <si>
    <t>การสนับสนุนและให้ความช่วยเหลือ</t>
  </si>
  <si>
    <t>เพื่อบรรเทาความเดือดร้อนอันเกิด</t>
  </si>
  <si>
    <t>จ้างนักเรียนนักศึกษาทำงาน</t>
  </si>
  <si>
    <t>ช่วงปิดภาคเรียนฤดูร้อน</t>
  </si>
  <si>
    <t>ของเทศบาล</t>
  </si>
  <si>
    <t>บริหารจัดการบ้านเมืองที่ดี</t>
  </si>
  <si>
    <t>ถนนเด็กเดิน</t>
  </si>
  <si>
    <t>จัดนิทรรศการ / กิจกรรมเพื่อส่งเสริม</t>
  </si>
  <si>
    <t>จัดประชุม  สัมมนา  และกิจกรรมเพื่อ</t>
  </si>
  <si>
    <t>ส่งเสริมภาวะการเป็นผู้นำ  และการมี</t>
  </si>
  <si>
    <t>ส่วนร่วมแสดงความคิดเห็นในการ</t>
  </si>
  <si>
    <t>พัฒนาและแก้ไขปัญหาของชุมชนและ</t>
  </si>
  <si>
    <t>คนพิการ</t>
  </si>
  <si>
    <t>ป้องกันและควบคุมโรคพิษสุนัขบ้า</t>
  </si>
  <si>
    <t>จัดกิจกรรมเผยแพร่ความรู้ด้านการ</t>
  </si>
  <si>
    <t>ให้แก่ประชาชน  การออกหน่วยให้</t>
  </si>
  <si>
    <t>บริการฉีดวัคซีนป้องกันโรคพิษสุนัขบ้า</t>
  </si>
  <si>
    <t>และยาคุมกำเนิดให้แก่สัตว์เลี้ยง</t>
  </si>
  <si>
    <t>และสัตว์จรจัดในเขตเทศบาล</t>
  </si>
  <si>
    <t>ควบคุมประชากรสุนัขและแมว</t>
  </si>
  <si>
    <t>การดูแลสุนัขและแมวหลังการทำหมัน</t>
  </si>
  <si>
    <t>การออกหน่วยให้บริการทำหมันสุนัข</t>
  </si>
  <si>
    <t>และแมวในเขตเทศบาล</t>
  </si>
  <si>
    <t>การแสดงออกและการมีส่วนร่วม</t>
  </si>
  <si>
    <t>ในด้านที่สร้างสรรค์  สำหรับเด็กและ</t>
  </si>
  <si>
    <t>เยาวชน</t>
  </si>
  <si>
    <t>ป้องกันและควบคุมโรคเอดส์</t>
  </si>
  <si>
    <t>จัดกิจกรรม / รณรงค์และเผยแพร่</t>
  </si>
  <si>
    <t>ความรู้เกี่ยวกับโรคเอดส์  การป้องกัน</t>
  </si>
  <si>
    <t>และควบคุมการแพร่เชื้อเอดส์   ให้แก่</t>
  </si>
  <si>
    <t>ฝึกอบรมพัฒนาศักยภาพ</t>
  </si>
  <si>
    <t>อาสาสมัครสาธารณสุข (อสม.)</t>
  </si>
  <si>
    <t>ฝึกอบรม อสม. จิ๋ว</t>
  </si>
  <si>
    <t xml:space="preserve">  </t>
  </si>
  <si>
    <t>กองสวัสดิการสังคม</t>
  </si>
  <si>
    <t>จัดเวทีประชาคมชุมชนเข้มแข็ง</t>
  </si>
  <si>
    <t>จัดเวทีประชาคมเพื่อเสริมสร้างความ</t>
  </si>
  <si>
    <t>เข้มแข็งและการมีส่วนร่วมของชุมชน</t>
  </si>
  <si>
    <t>ตามนโยบายของรัฐบาล / เทศบาล</t>
  </si>
  <si>
    <t>ประกวดชุมชนพัฒนา</t>
  </si>
  <si>
    <t>จัดการประกวดชุมชนในเขตเทศบาล</t>
  </si>
  <si>
    <t>ที่มีการบริหารจัดการสิ่งแวดล้อมที่ดี</t>
  </si>
  <si>
    <t>การมีส่วนร่วมและสนับสนุนการ</t>
  </si>
  <si>
    <t>ดำเนินงานของเทศบาลในด้านต่าง ๆ</t>
  </si>
  <si>
    <t>เพื่อสร้างแรงจูงใจในการพัฒนา</t>
  </si>
  <si>
    <t>คุณภาพชีวิตและสิ่งแวดล้อมในชุมชน</t>
  </si>
  <si>
    <t>และส่งเสริมการมีส่วนร่วมของชุมชน</t>
  </si>
  <si>
    <t>ส่งเสริมสนับสนุนการดำเนินงาน</t>
  </si>
  <si>
    <t>จัดงานพิธี / กิจกรรม  ตามนโยบาย</t>
  </si>
  <si>
    <t>รัฐบาล  หน่วยงานภาครัฐ   และ</t>
  </si>
  <si>
    <t>การดำเนินงานตามกรอบการ</t>
  </si>
  <si>
    <t>ของกระทรวงมหาดไทย</t>
  </si>
  <si>
    <t>เทศบาลเคลื่อนที่</t>
  </si>
  <si>
    <t>จัดหน่วยเคลื่อนที่เพื่อบริการ</t>
  </si>
  <si>
    <t>ประชาชนในชุมชน ด้านงานทะเบียน</t>
  </si>
  <si>
    <t xml:space="preserve">จัดประชุม  ฝึกอบรม  สัมมนา  </t>
  </si>
  <si>
    <t>จัดกิจกรรม  การรณรงค์ด้านการ</t>
  </si>
  <si>
    <t>ให้แก่ประชาชน  บุคลากรเทศบาล</t>
  </si>
  <si>
    <t>และผู้ที่เกี่ยวข้อง</t>
  </si>
  <si>
    <t xml:space="preserve">และผู้ที่เกี่ยวข้อง  </t>
  </si>
  <si>
    <t>ฝึกอบรมอาสาสมัครป้องกันภัย</t>
  </si>
  <si>
    <t>ฝ่ายพลเรือน</t>
  </si>
  <si>
    <t>ฝึกอบรมด้านการป้องกันและบรรเทา</t>
  </si>
  <si>
    <t>สาธารณภัยให้แก่ประชาชนที่สมัคร</t>
  </si>
  <si>
    <t>เป็น อปพร. และการฝึกทบทวน</t>
  </si>
  <si>
    <t>จากสาธารณภัย  ให้แก่ประชาชน</t>
  </si>
  <si>
    <t>องค์กรเอกชน  และหน่วยงานอื่น</t>
  </si>
  <si>
    <t>จ้างนักเรียน  นักศึกษา ทำงานช่วงปิด</t>
  </si>
  <si>
    <t>ภาคเรียน  เพื่อสร้างรายได้ให้กับ</t>
  </si>
  <si>
    <t xml:space="preserve">   </t>
  </si>
  <si>
    <t>ฝึกอบรมพัฒนาความรู้การใช้</t>
  </si>
  <si>
    <t>ฝึกอบรมเพื่อพัฒนาประสิทธิภาพ</t>
  </si>
  <si>
    <t>การปฏิบัติงานด้านคอมพิวเตอร์และ</t>
  </si>
  <si>
    <t>สัมมนา  ด้านการบริหารงานศูนย์</t>
  </si>
  <si>
    <t>สภาเทศบาล  ผู้บริหาร  บุคลากร</t>
  </si>
  <si>
    <t>เทศบาล  และผู้ที่เกี่ยวข้อง</t>
  </si>
  <si>
    <t>พัฒนาบุคลากรสำนักการคลัง</t>
  </si>
  <si>
    <t xml:space="preserve">    </t>
  </si>
  <si>
    <t>ออกกำลังกายเพื่อสุขภาพ</t>
  </si>
  <si>
    <t>จัดกิจกรรมกีฬา  การออกกำลังกาย</t>
  </si>
  <si>
    <t>การตรวจสุขภาพ  ให้แก่เด็ก  เยาวชน</t>
  </si>
  <si>
    <t>และประชาชน</t>
  </si>
  <si>
    <t>ประเพณีสงกรานต์</t>
  </si>
  <si>
    <t>วัฒนธรรมประเพณีที่ดีงามของไทย</t>
  </si>
  <si>
    <t>ขบวนแห่น้ำหวาน   เพื่อสืบสาน</t>
  </si>
  <si>
    <t>ประเพณีลอยกระทง</t>
  </si>
  <si>
    <t>วํฒนธรรมประเพณีที่ดีงามของไทย</t>
  </si>
  <si>
    <t>วันครู</t>
  </si>
  <si>
    <t>ทางการศึกษา</t>
  </si>
  <si>
    <t>จัดกิจกรรมส่งเสริมคุณธรรม</t>
  </si>
  <si>
    <t>จริยธรรม</t>
  </si>
  <si>
    <t>จัดกิจกรรมเพื่อส่งเสริมคุณธรรม</t>
  </si>
  <si>
    <t>จริยธรรม  และการจัดประกวดความรู้</t>
  </si>
  <si>
    <t>จัดกิจกรรมเพื่อส่งเสริมความรู้ความ</t>
  </si>
  <si>
    <t>สามารถพิเศษ   และการจัดประกวด</t>
  </si>
  <si>
    <t>ความสามารถของเด็กและเยาวชน</t>
  </si>
  <si>
    <t>ในด้านต่าง ๆ  เช่น  การประกวด</t>
  </si>
  <si>
    <t>กลองยาว / ดนตรีไทย / ดนตรีสากล</t>
  </si>
  <si>
    <t>เป็นต้น</t>
  </si>
  <si>
    <t>พัฒนาประสิทธิภาพบุคลากร</t>
  </si>
  <si>
    <t>ฝึกอบรม  สัมมนา   จัดกิจกรรมเพื่อ</t>
  </si>
  <si>
    <t>พัฒนาประสิทธิภาพด้านการศึกษา</t>
  </si>
  <si>
    <t>พัฒนาการเรียนการสอน</t>
  </si>
  <si>
    <t>การเรียนการสอนและเพื่อให้นักเรียน</t>
  </si>
  <si>
    <t>ได้มีโอกาสฝึกทักษะและเพิ่ม</t>
  </si>
  <si>
    <t>ประสบการณ์ในการเรียนรู้</t>
  </si>
  <si>
    <t>โรงเรียนในสังกัด</t>
  </si>
  <si>
    <t>และรายการของเทศบาล</t>
  </si>
  <si>
    <t xml:space="preserve">โรงเรียนวัดกู้ </t>
  </si>
  <si>
    <t xml:space="preserve">โรงเรียนวัดบ่อ </t>
  </si>
  <si>
    <t>โดยสังเขป  ดังนี้</t>
  </si>
  <si>
    <t>(นันทวิทยา)</t>
  </si>
  <si>
    <t>(นันทาภิวัฒน์วิทยา)</t>
  </si>
  <si>
    <t>กลุ่มเสี่ยง  เครือข่ายเอดส์   และ</t>
  </si>
  <si>
    <t>ประชาชน  การสนับสนุนวัสดุอุปกรณ์</t>
  </si>
  <si>
    <t>ในการรณรงค์ให้แก่แกนนำชุมชน</t>
  </si>
  <si>
    <t>และอาสาสมัคร</t>
  </si>
  <si>
    <t xml:space="preserve">สำนักงานเทศบาล  </t>
  </si>
  <si>
    <t xml:space="preserve">ผู้ที่เกี่ยวข้อง </t>
  </si>
  <si>
    <t>ศักยภาพด้านการให้บริการสาธารณสุข</t>
  </si>
  <si>
    <t>เฝ้าระวังและส่งเสริมภาวะ</t>
  </si>
  <si>
    <t xml:space="preserve">โภชนาการเด็กไทยสมวัย </t>
  </si>
  <si>
    <t xml:space="preserve">ประชาชน  และผู้ที่เกี่ยวข้อง  </t>
  </si>
  <si>
    <t>สถานที่จำหน่ายสินค้า   ผลผลิต</t>
  </si>
  <si>
    <t>กลุ่มอาชีพ   กลุ่มแม่บ้านในชุมชน</t>
  </si>
  <si>
    <t>อบรมสัมมนาแผ่นดินธรรม</t>
  </si>
  <si>
    <t>แผ่นดินทอง</t>
  </si>
  <si>
    <t xml:space="preserve">ชุมชน   ให้แก่คณะกรรมการชุมชน  </t>
  </si>
  <si>
    <t xml:space="preserve">องค์กรประชาชน  และผู้ที่เกี่ยวข้อง </t>
  </si>
  <si>
    <t>สำรวจข้อมูลชุมชน</t>
  </si>
  <si>
    <t>ฝึกอบรมอาชีพระยะสั้น</t>
  </si>
  <si>
    <t>ฝึกอบรมอาชีพระยะยาว</t>
  </si>
  <si>
    <t>ฝึกอบรมอาชีพในชุมชน</t>
  </si>
  <si>
    <t>ให้ความช่วยเหลือผู้ประสบสาธารณภัย</t>
  </si>
  <si>
    <t>รวมทั้งการช่วยเหลืออื่น ๆ  ตามความ</t>
  </si>
  <si>
    <t>เหมาะสมและจำเป็น</t>
  </si>
  <si>
    <t xml:space="preserve">                    </t>
  </si>
  <si>
    <t>พัฒนาเส้นทางจราจร</t>
  </si>
  <si>
    <t>ดำเนินการและบำรุงรักษาระบบ</t>
  </si>
  <si>
    <t>จ้างเหมาดูแลบำรุงรักษาไม้ดอก</t>
  </si>
  <si>
    <t>ไม้ประดับบริเวณสวนเฉลิมพระเกียรติ</t>
  </si>
  <si>
    <t>ซ่อมแซมปรับปรุงที่อยู่อาศัยให้กับ</t>
  </si>
  <si>
    <t xml:space="preserve">ประชาชนผู้ยากไร้และผู้ด้อยโอกาส </t>
  </si>
  <si>
    <t xml:space="preserve">ของเทศบาล </t>
  </si>
  <si>
    <t>พัฒนาคุณภาพน้ำในแหล่งน้ำ</t>
  </si>
  <si>
    <t>ธรรมชาติ</t>
  </si>
  <si>
    <t>รายการของเทศบาล</t>
  </si>
  <si>
    <t>ก่อสร้างปรับปรุงถนนลาดยาง</t>
  </si>
  <si>
    <t>ตามแบบรูปและรายการของเทศบาล</t>
  </si>
  <si>
    <t>วัดบางพูดนอก</t>
  </si>
  <si>
    <t>บริเวณคลองส่วย</t>
  </si>
  <si>
    <t xml:space="preserve">ก่อสร้างรางยู ค.ส.ล. กว้างประมาณ </t>
  </si>
  <si>
    <t>๖๐๐,๐๐๐</t>
  </si>
  <si>
    <t>ตั้งจ่ายจาก</t>
  </si>
  <si>
    <t>เงินรายได้</t>
  </si>
  <si>
    <t>เงินอุดหนุน</t>
  </si>
  <si>
    <t>พัฒนาความรู้เกี่ยวกับการจัดทำ</t>
  </si>
  <si>
    <t>โครงการพัฒนาและการติดตาม</t>
  </si>
  <si>
    <t xml:space="preserve">และประเมินผล      </t>
  </si>
  <si>
    <t>ภายในเขตเทศบาล</t>
  </si>
  <si>
    <t xml:space="preserve">   -๑๑-</t>
  </si>
  <si>
    <t xml:space="preserve">    -๒-</t>
  </si>
  <si>
    <t xml:space="preserve">   -๓-</t>
  </si>
  <si>
    <t>๘๔ พรรษา</t>
  </si>
  <si>
    <t>ขับเคลื่อนนโยบายเร่งด่วน ๙ ด้าน</t>
  </si>
  <si>
    <t xml:space="preserve">   -๓๙-</t>
  </si>
  <si>
    <t>จำนวน  ๑   คัน</t>
  </si>
  <si>
    <t xml:space="preserve">ชั้น ๑  โดยการกั้นห้อง  ปรับปรุงพื้น  </t>
  </si>
  <si>
    <t>๑  เคาน์เตอร์  พร้อมตกแต่งซุ้ม</t>
  </si>
  <si>
    <t>ตร.ม.  จำนวน  ๑  หลัง</t>
  </si>
  <si>
    <t>ม.๑   ต.บางพูด</t>
  </si>
  <si>
    <t xml:space="preserve"> ม.๑  ตำบลบางพูด</t>
  </si>
  <si>
    <t xml:space="preserve">ยาวประมาณ  ๑๐๐.๐๐ ม. </t>
  </si>
  <si>
    <t>ก่อสร้างบ่อสูบน้ำบริเวณหมู่ ๑ ต.ปากเกร็ด</t>
  </si>
  <si>
    <t>ม.๑  ต.ปากเกร็ด</t>
  </si>
  <si>
    <t xml:space="preserve">ขนาด  ๑.๐๐x๑๐๐.๐๐  ม. </t>
  </si>
  <si>
    <t>และติดตั้งประตูระบายน้ำ  ๑  บาน</t>
  </si>
  <si>
    <t>ขนาดกว้างประมาณ  ๑๑.๐๐  ม.</t>
  </si>
  <si>
    <t>ระบายน้ำ  ๑  บาน</t>
  </si>
  <si>
    <t>จำนวน   ๒  คัน</t>
  </si>
  <si>
    <t>เคาน์เตอร์  จำนวน  ๒  เคาน์เตอร์</t>
  </si>
  <si>
    <t>๒  ห้อง    พร้อมจัดหาครุภัณฑ์</t>
  </si>
  <si>
    <t>ไม่น้อยกว่า  ๑๑๒  ตร.ม.</t>
  </si>
  <si>
    <t>ซอยหมู่บ้านมิตรประชา (โครงการ ๒)</t>
  </si>
  <si>
    <t>(โครงการ ๒)  ต.บ้านใหม่</t>
  </si>
  <si>
    <t>ซอยสุขาประชาสรรค์ ๒ แยก ๑</t>
  </si>
  <si>
    <t>ซอยสุขาประชาสรรค์ ๒ แยก ๑ (ทางเข้าวัดกู้)</t>
  </si>
  <si>
    <t>ซอยสุขาประชาสรรค์ ๒ แยก ๒</t>
  </si>
  <si>
    <t>ซอยสุขาประชาสรรค์ ๒ แยก ๒ (ทางเข้าวัดกู้)</t>
  </si>
  <si>
    <t>ซอยขจรเนติยุทธ แยก ๑ แยก ๒</t>
  </si>
  <si>
    <t xml:space="preserve">ซอยขจรเนติยุทธ  แยก ๑  แยก ๒ </t>
  </si>
  <si>
    <t>เชื่อมถนนสุขาประชาสรรค์ ๒</t>
  </si>
  <si>
    <t xml:space="preserve">แบบจุ่มในน้ำ  จำนวน  ๒  เครื่อง   </t>
  </si>
  <si>
    <t>จำนวน  ๒๒  หลัง  พร้อมป้าย</t>
  </si>
  <si>
    <t>จอดรถประจำทาง  จำนวน  ๒๒  จุด</t>
  </si>
  <si>
    <t>เป็นอาคาร ค.ส.ล.  ๓  ชั้น  พร้อม</t>
  </si>
  <si>
    <t>ขนาด  ๒.๐๐x๓.๐๐x๓.๐๐ ม.</t>
  </si>
  <si>
    <t>โดยประมาณ   จำนวน  ๓   แถว</t>
  </si>
  <si>
    <t>ติดตั้งประตูระบายน้ำ บริเวณขจรเนติยุทธ ซอย ๓</t>
  </si>
  <si>
    <t>ซอยขจรเนติยุทธ ซอย ๓</t>
  </si>
  <si>
    <t>ติดตั้งประตูระบายน้ำ บริเวณขจรเนติยุทธ ซอย ๓/๑</t>
  </si>
  <si>
    <t>ซอยขจรเนติยุทธ ซอย ๓/๑</t>
  </si>
  <si>
    <t>ติดตั้งประตูระบายน้ำ บริเวณขจรเนติยุทธ ซอย ๓/๑/๓</t>
  </si>
  <si>
    <t>ซอยขจรเนติยุทธ  ซอย ๓/๑/๓</t>
  </si>
  <si>
    <t xml:space="preserve">ท่าเทียบเรือเดิม   จำนวน  ๓  หลัง  </t>
  </si>
  <si>
    <t xml:space="preserve">แบบ  ๔  ประตู    พร้อมอุปกรณ์  </t>
  </si>
  <si>
    <t>ข้างเคาน์เตอร์  จำนวน  ๔  ต้น</t>
  </si>
  <si>
    <t>ชั้นล่าง  จำนวน  ๔  ห้องเรียน</t>
  </si>
  <si>
    <t>๔๐  ตร.ม.</t>
  </si>
  <si>
    <t xml:space="preserve">    -๔-</t>
  </si>
  <si>
    <t>ซอยแยกหมู่บ้านโชคประชาวิลล่า ซอยแยก ๑,๒,๓,๔</t>
  </si>
  <si>
    <t>วิลล่า  ซอยแยก ๑,๒,๓,๔</t>
  </si>
  <si>
    <t>ของเขื่อน  ยาวประมาณ ๔๒๔ ม.</t>
  </si>
  <si>
    <t>จำนวน  ๔  เครื่อง  และติดตั้งประตู</t>
  </si>
  <si>
    <t>ติดตั้งประตูระบายน้ำ บริเวณขจรเนติยุทธ ซอย ๔</t>
  </si>
  <si>
    <t>ซอยขจรเนติยุทธ  ซอย ๔</t>
  </si>
  <si>
    <t>จำนวน  ๔  โป๊ะ</t>
  </si>
  <si>
    <t xml:space="preserve">สรุปโครงการสำคัญและรายจ่ายเพื่อการลงทุน (ค่าที่ดินและสิ่งก่อสร้าง)  ประจำปีงบประมาณ พ.ศ. ๒๕๕๑ </t>
  </si>
  <si>
    <t>อุปกรณ์  จำนวน  ๕๑  ชุด</t>
  </si>
  <si>
    <t>พร้อมอุปกรณ์    จำนวน  ๕  เครื่อง</t>
  </si>
  <si>
    <t>ประมาณ  ๕  ไร่   พร้อมก่อสร้าง</t>
  </si>
  <si>
    <t>ดาดฟ้า  ขนาด ๕.๐๐ x ๒๑.๐๐ ม.</t>
  </si>
  <si>
    <t xml:space="preserve">รวมพื้นที่ไม่น้อยกว่า  ๓๑๕.๐๐ </t>
  </si>
  <si>
    <t>และภายในศูนย์   จำนวน  ๕  ซุ้ม</t>
  </si>
  <si>
    <t>๑.๕๐x๔.๐๐ ม.  โดยประมาณ</t>
  </si>
  <si>
    <t xml:space="preserve">๕.๐๐×๒๐๐.๐๐×๐.๑๕ ม.   </t>
  </si>
  <si>
    <t xml:space="preserve">๕.๐๐×๔๑๐.๐๐×๐.๑๕ ม.   </t>
  </si>
  <si>
    <t xml:space="preserve">๔.๐๐×๒๔.๐๐×๐.๑๕ ม.   </t>
  </si>
  <si>
    <t xml:space="preserve">๕.๕๐×๔๒๕.๐๐×๐.๑๕ ม.   </t>
  </si>
  <si>
    <t xml:space="preserve">๔.๐๐×๕๔๐.๐๐×๐.๑๕ ม.   </t>
  </si>
  <si>
    <t xml:space="preserve">๕.๐๐×๕๔๐.๐๐×๐.๑๕ ม.   </t>
  </si>
  <si>
    <t xml:space="preserve">    -๕-</t>
  </si>
  <si>
    <t>หนา ๐.๕๐  ม.</t>
  </si>
  <si>
    <t>ขนาด  ๔.๐๐x๕.๐๐x๓.๐๐ ม.</t>
  </si>
  <si>
    <t>ขนาด ๑.๕๐x๑.๕๐x ๑๕.๐๐ ม.</t>
  </si>
  <si>
    <t>ติดตั้งประตูระบายน้ำ บริเวณขจรเนติยุทธ ซอย ๕</t>
  </si>
  <si>
    <t>ซอยขจรเนติยุทธ  ซอย ๕</t>
  </si>
  <si>
    <t xml:space="preserve">ท่าเทียบเรือเดิม  จำนวน ๕ หลัง  </t>
  </si>
  <si>
    <t>พื้นที่  ๒๑๖  ตร.ม.  พร้อมยกพื้น</t>
  </si>
  <si>
    <t xml:space="preserve">๕.๐๐×๖๐.๐๐×๐.๑๕ ม.   </t>
  </si>
  <si>
    <t>ซอยต้นสนแยก ๖</t>
  </si>
  <si>
    <t>ซอยต้นสน  แยก ๖ (ส่วนที่เหลือ)</t>
  </si>
  <si>
    <t>ซอยสหกรณ์ซอยแยก  ระหว่างซอย ๔ กับ ซอย ๖</t>
  </si>
  <si>
    <t>ระหว่างซอย  ๔ กับซอย  ๖</t>
  </si>
  <si>
    <t>ซอยแยกแจ้งวัฒนะ - ปากเกร็ด ๖</t>
  </si>
  <si>
    <t>ปากเกร็ด ๖   ต.ปากเกร็ด</t>
  </si>
  <si>
    <t xml:space="preserve">ขนาด  ๒.๐๐×๒๖๐.๐๐ ม.   </t>
  </si>
  <si>
    <t xml:space="preserve">ขนาด  ๓.๐๐x๒๖๔.๐๐ ม.  </t>
  </si>
  <si>
    <t xml:space="preserve">ยาวประมาณ  ๖๑.๐๐ ม. </t>
  </si>
  <si>
    <t xml:space="preserve">     -๖-</t>
  </si>
  <si>
    <t>สำหรับท่อขนาด Ø  ๐.๖๐  ม.</t>
  </si>
  <si>
    <t>ติดตั้งประตูระบายน้ำ บริเวณขจรเนติยุทธ ซอย ๖</t>
  </si>
  <si>
    <t>ซอยขจรเนติยุทธ  ซอย ๖</t>
  </si>
  <si>
    <t>ขนาดประมาณ  ๒.๔๐x๖.๐๐ ม.</t>
  </si>
  <si>
    <t>ห้อง   ขนาด ๐.๕๐x๓.๔๗x๐.๒๐ ม.</t>
  </si>
  <si>
    <t xml:space="preserve">๔.๐๐×๓๗.๐๐×๐.๑๕ ม.   </t>
  </si>
  <si>
    <t>ซอยต้นสน ๗  ต.บางตลาด</t>
  </si>
  <si>
    <t>ซอยต้นสน ๗ (ส่วนที่เหลือ)</t>
  </si>
  <si>
    <t xml:space="preserve">๗.๐๐×๔๕๕.๐๐×๐.๑๕ ม.   </t>
  </si>
  <si>
    <t xml:space="preserve">๕.๐๐×๓๗๐.๐๐×๐.๑๕ ม.   </t>
  </si>
  <si>
    <t>ซอยพระอินทร์ ๗  ต.บางพูด</t>
  </si>
  <si>
    <t>ซอยพระอินทร์ ๗</t>
  </si>
  <si>
    <t xml:space="preserve">๓.๐๐×๗๐.๐๐×๐.๑๕ ม.   </t>
  </si>
  <si>
    <t xml:space="preserve">๓.๐๐×๑๑๗.๐๐×๐.๑๕ ม.   </t>
  </si>
  <si>
    <t xml:space="preserve">๓.๐๐ - ๔.๐๐×๖๗๐.๐๐×๐.๑๕ ม.   </t>
  </si>
  <si>
    <t>๗.๐๐x๔,๒๐๐.๐๐ ม. โดยประมาณ</t>
  </si>
  <si>
    <t xml:space="preserve">ขนาด  ๑.๐๐x๗๕.๐๐  ม.   โดย </t>
  </si>
  <si>
    <t xml:space="preserve">    -๗-</t>
  </si>
  <si>
    <t>จำนวน  ๘  รายการ</t>
  </si>
  <si>
    <t>พื้นที่ไม่น้อยกว่า ๒๘ ตร.ม.</t>
  </si>
  <si>
    <t xml:space="preserve">๔.๐๐×๒๘.๐๐×๐.๑๕ ม.   </t>
  </si>
  <si>
    <t xml:space="preserve">๕.๕๐×๑๘๕.๐๐×๐.๑๕ ม.   </t>
  </si>
  <si>
    <t>ค.ส.ล.  ขนาด ๑.๕๐x๑๔๘ ม.</t>
  </si>
  <si>
    <t xml:space="preserve">ยาวประมาณ  ๓๘๐.๐๐ ม. </t>
  </si>
  <si>
    <t>ก่อสร้างบ่อสูบน้ำบริเวณหมู่บ้านการบินไทย ซอย ๘</t>
  </si>
  <si>
    <t>หมู่บ้านการบินไทย ซอย  ๘</t>
  </si>
  <si>
    <t>ขนาด Ø  ๐.๖๐ ม. ยาว ๑๘๐.๐๐ ม.</t>
  </si>
  <si>
    <t>๑.๐๐x๑.๐๐ ม.  จำนวน  ๘  จุด</t>
  </si>
  <si>
    <t xml:space="preserve">    -๘-</t>
  </si>
  <si>
    <t>ประสิทธิผล  ดังนี้</t>
  </si>
  <si>
    <t>คอมพิวเตอร์และระบบ</t>
  </si>
  <si>
    <t>เทคโนโลยีสารสนเทศ</t>
  </si>
  <si>
    <t>เทคโนโลยีสารสนเทศ  ให้แก่สมาชิก</t>
  </si>
  <si>
    <t>ผู้รับผิดชอบโครงการพัฒนา  และ</t>
  </si>
  <si>
    <t xml:space="preserve">ผู้ที่เกี่ยวข้อง  </t>
  </si>
  <si>
    <t>สนับสนุนการจัดทำแผนพัฒนา</t>
  </si>
  <si>
    <t>เทศบาล  คณะกรรมการติดตามและ</t>
  </si>
  <si>
    <t>ประเมินผลแผนพัฒนาเทศบาล</t>
  </si>
  <si>
    <t>พัฒนาบุคลากรของศูนย์</t>
  </si>
  <si>
    <t>ดำรงธรรมเทศบาลนครปากเกร็ด</t>
  </si>
  <si>
    <t>บุคลากรเทศบาล  และผู้ที่เกี่ยวข้อง</t>
  </si>
  <si>
    <t>สำรวจความพึงพอใจของผู้รับ</t>
  </si>
  <si>
    <t>บริการต่อการให้บริการของ</t>
  </si>
  <si>
    <t>หน่วยงานภายนอกหรือสถาบัน</t>
  </si>
  <si>
    <t xml:space="preserve">ที่เป็นกลางเพื่อสำรวจ ศึกษา  วิจัย  </t>
  </si>
  <si>
    <t>และประเมินผลความพึงพอใจของ</t>
  </si>
  <si>
    <t>ประชาชนที่มีต่อการให้บริการของ</t>
  </si>
  <si>
    <t>เทศบาลนครปากเกร็ด เพื่อใช้เป็น</t>
  </si>
  <si>
    <t>ข้อมูลในการพัฒนาปรับปรุง</t>
  </si>
  <si>
    <t>ประสิทธิภาพการดำเนินงานของ</t>
  </si>
  <si>
    <t>ฝึกอบรม สัมมนา เพื่อเสริมสร้าง</t>
  </si>
  <si>
    <t xml:space="preserve">ความรู้เกี่ยวกับกฎหมาย ระเบียบ  </t>
  </si>
  <si>
    <t>ด้านการจัดเก็บรายได้  การจัดทำ</t>
  </si>
  <si>
    <t>แผนที่ภาษีและทะเบียนทรัพย์สินของ</t>
  </si>
  <si>
    <t>เทศบาล  การพัฒนาปรับปรุง</t>
  </si>
  <si>
    <t>และด้านอื่น ๆที่เกี่ยวข้อง  ให้แก่</t>
  </si>
  <si>
    <t>ผู้บริหาร  บุคลากรเทศบาล  และ</t>
  </si>
  <si>
    <t>ผู้ที่เกี่ยวข้อง</t>
  </si>
  <si>
    <t>ประสิทธิภาพการให้บริการประชาชน</t>
  </si>
  <si>
    <t>จัดงานประเพณีสงกรานต์ จัดกิจกรรม</t>
  </si>
  <si>
    <t>จัดงานประเพณีลอยกระทงเพื่อสืบสาน</t>
  </si>
  <si>
    <t>จัดงานวันเด็ก  เพื่อส่งเสริมและ</t>
  </si>
  <si>
    <t>สนับสนุนให้เด็กและครอบครัวได้ทำ</t>
  </si>
  <si>
    <t>กิจกรรมร่วมกัน  และตระหนักถึง</t>
  </si>
  <si>
    <t>คุณค่าและความสำคัญของเด็ก</t>
  </si>
  <si>
    <t xml:space="preserve">จัดการเรียนการสอนเฉพาะด้าน  </t>
  </si>
  <si>
    <t>สำหรับรายวิชาที่จำเป็นต้องมี</t>
  </si>
  <si>
    <t>ผู้เชี่ยวชาญในการสอน  เช่น  ภาษา</t>
  </si>
  <si>
    <t>ต่างประเทศ  ดนตรี  ศิลปะการ</t>
  </si>
  <si>
    <t xml:space="preserve">ป้องกันตัว  เป็นต้น  เพื่อพัฒนา </t>
  </si>
  <si>
    <t>มณีจักรมิตรภาพ</t>
  </si>
  <si>
    <t>สำนักงานเทศบาล</t>
  </si>
  <si>
    <t xml:space="preserve">และเด็กปฐมวัย  ให้แก่ครู  ผู้ดูแลเด็ก  </t>
  </si>
  <si>
    <t>เคลื่อนที่</t>
  </si>
  <si>
    <t xml:space="preserve">ตามโครงการหนึ่งตำบล  </t>
  </si>
  <si>
    <t>หนึ่งผลิตภัณฑ์</t>
  </si>
  <si>
    <t>ส่งเสริมเศรษฐกิจชุมชน และการจัดหา</t>
  </si>
  <si>
    <t>และผลิตภัณฑ์  ให้แก่ผู้ผลิตสินค้า</t>
  </si>
  <si>
    <t>ผู้จัดเก็บข้อมูล จปฐ. ของชุมชนในเขต</t>
  </si>
  <si>
    <t>เทศบาล  เพื่อให้มีข้อมูลในการ</t>
  </si>
  <si>
    <t>วางแผนพัฒนาและการแก้ไขปัญหา</t>
  </si>
  <si>
    <t xml:space="preserve">ของชุมชน  </t>
  </si>
  <si>
    <t>พัฒนาศักยภาพกลุ่มอาชีพ</t>
  </si>
  <si>
    <t>ค่าใช้จ่ายในการจัดการประกวด</t>
  </si>
  <si>
    <t xml:space="preserve">รูปแบบผลิตภัณฑ์ชุมชน  </t>
  </si>
  <si>
    <t>และปัญหาความเดือดร้อนในด้านต่างๆ</t>
  </si>
  <si>
    <t>สูบน้ำในเขตเทศบาลนคร</t>
  </si>
  <si>
    <t>จ้างเหมาดูแลรักษาและซ่อมบำรุง</t>
  </si>
  <si>
    <t>สถานีสูบน้ำและบ่อสูบน้ำของเทศบาล</t>
  </si>
  <si>
    <t xml:space="preserve">แยกซ้าย </t>
  </si>
  <si>
    <t xml:space="preserve">  -๓๗-</t>
  </si>
  <si>
    <t>ก่อสร้างบ่อสูบน้ำบริเวณ</t>
  </si>
  <si>
    <t>รวมค่าที่ดินและสิ่งก่อสร้าง</t>
  </si>
  <si>
    <t>ของทุกส่วนราชการ</t>
  </si>
  <si>
    <t>ได้ทุกวันในเวลาราชการ  โทร. ๐-๒๙๖๐-๙๗๐๔-๑๔  ต่อ ๖๐๓</t>
  </si>
  <si>
    <t>และจัดงาน/กิจกรรม  ด้านการพัฒนา</t>
  </si>
  <si>
    <t>ประชาสัมพันธ์งบประมาณรายจ่าย ประจำปีงบประมาณ พ.ศ.๒๕๕๕</t>
  </si>
  <si>
    <t>เพื่อแจ้งให้ทุกท่านทราบและร่วมกันตรวจสอบการใช้จ่ายเงินงบประมาณของเทศบาลให้เกิดความคุ้มค่า มีประสิทธิภาพและ</t>
  </si>
  <si>
    <t>ราษฎร  การพัฒนาพื้นที่  การรักษา</t>
  </si>
  <si>
    <t>พยาบาล  การป้องกันและบรรเทา</t>
  </si>
  <si>
    <t>สาธารณภัย และด้านอื่น ๆ ที่เกี่ยวข้อง</t>
  </si>
  <si>
    <t xml:space="preserve">               เทศบาลนครปากเกร็ดขอประชาสัมพันธ์โครงการสำคัญและโครงการในหมวดค่าที่ดินและสิ่งก่อสร้าง  ประจำปี</t>
  </si>
  <si>
    <t>บริการงานทะเบียนราษฎร</t>
  </si>
  <si>
    <t>และบัตรประจำตัวประชาชน</t>
  </si>
  <si>
    <t xml:space="preserve">นครปากเกร็ด  </t>
  </si>
  <si>
    <t>ศักยภาพในการปฏิบัติงานของ อปพร.</t>
  </si>
  <si>
    <t>เลือกตั้งนายกเทศมนตรีและ</t>
  </si>
  <si>
    <t>สมาชิกสภาเทศบาลนคร</t>
  </si>
  <si>
    <t>จัดการเลือกตั้งนายกเทศมนตรีและ</t>
  </si>
  <si>
    <t>สมาชิกสภาเทศบาลนครปากเกร็ด</t>
  </si>
  <si>
    <t>สนับสนุนการเลือกตั้งทั่วไป</t>
  </si>
  <si>
    <t>ตามที่กฎหมายกำหนด</t>
  </si>
  <si>
    <t>สถานที่</t>
  </si>
  <si>
    <t>ดำเนินการ</t>
  </si>
  <si>
    <t>สำนักงานเทศบาล/</t>
  </si>
  <si>
    <t>สถานที่อื่นที่</t>
  </si>
  <si>
    <t>เหมาะสม</t>
  </si>
  <si>
    <t>สนับสนุนการเลือกตั้งทั่วไป เช่น</t>
  </si>
  <si>
    <t>การเลือกตั้ง ส.ส.,  ส.ว.,  ส.อบจ.</t>
  </si>
  <si>
    <t>และการลงคะแนนเสียงประชามติ</t>
  </si>
  <si>
    <t>นักเรียนนักศึกษา และเพื่อให้นักเรียน</t>
  </si>
  <si>
    <t>นักศึกษาได้ใช้เวลาว่างให้เป็นประโยชน์</t>
  </si>
  <si>
    <t>เพื่อลดปัญหาทางด้านสังคม</t>
  </si>
  <si>
    <t>ปรับปรุงสถานีดับเพลิงเทศบาล</t>
  </si>
  <si>
    <t>บริเวณชั้น ๑ ที่ว่าการอำเภอ</t>
  </si>
  <si>
    <t>ทั่วไปฯ</t>
  </si>
  <si>
    <t>ชื่อโครงการ</t>
  </si>
  <si>
    <t>กิจกรรมตามโครงการ</t>
  </si>
  <si>
    <t xml:space="preserve">ปรับปรุงสถานีดับเพลิงเทศบาล </t>
  </si>
  <si>
    <t xml:space="preserve">โดยปูกระเบื้องเคลือบ พื้นที่ประมาณ </t>
  </si>
  <si>
    <t>พร้อมทั้งปรับปรุงห้องน้ำ  ปรับปรุง</t>
  </si>
  <si>
    <t>ระบบไฟฟ้า  ตามแบบรูปและรายการ</t>
  </si>
  <si>
    <t xml:space="preserve">ก่อสร้างสถานีดับเพลิงย่อย </t>
  </si>
  <si>
    <t>ตำบลบางพูด</t>
  </si>
  <si>
    <t>ก่อสร้างสถานีดับเพลิงย่อย ลักษณะ</t>
  </si>
  <si>
    <t>เป็นโรงจอดรถโครงเหล็ก  หลังคา</t>
  </si>
  <si>
    <t xml:space="preserve">เมทัลชีท พร้อมห้องปฏิบัติงาน  </t>
  </si>
  <si>
    <t xml:space="preserve">ขนาดกว้างประมาณ ๑๘ เมตร </t>
  </si>
  <si>
    <t>ถนนเลี่ยงเมือง</t>
  </si>
  <si>
    <t>ปากเกร็ด  ตำบล</t>
  </si>
  <si>
    <t>ยาวประมาณ ๒๔ เมตร  จำนวน</t>
  </si>
  <si>
    <t>๑ สถานี ตามแบบรูปและรายการ</t>
  </si>
  <si>
    <t xml:space="preserve">บางพูด </t>
  </si>
  <si>
    <t>พัฒนาความรู้เกี่ยวกับ</t>
  </si>
  <si>
    <t>การจัดทำแผนพัฒนา</t>
  </si>
  <si>
    <t>นครปากเกร็ด/</t>
  </si>
  <si>
    <t>ฝึกอบรมเชิงปฏิบัติการการจัดทำแผน</t>
  </si>
  <si>
    <t>พัฒนาเทศบาล ให้แก่คณะกรรมการ</t>
  </si>
  <si>
    <t>พัฒนาเทศบาล  คณะกรรมการ</t>
  </si>
  <si>
    <t>สมาชิกสภาเทศบาล ผู้บริหาร บุคลากร</t>
  </si>
  <si>
    <t>ประชาชน</t>
  </si>
  <si>
    <t>พัฒนาความรู้กฎหมายทั่วไป</t>
  </si>
  <si>
    <t>เกี่ยวกับประชาชน</t>
  </si>
  <si>
    <t xml:space="preserve">ฝึกอบรมด้านกฎหมายทั่วไป การรับฟัง  </t>
  </si>
  <si>
    <t>ความคิดเห็นของประชาชน  ให้แก่</t>
  </si>
  <si>
    <t xml:space="preserve">ประชาชน  สมาชิกสภาเทศบาล </t>
  </si>
  <si>
    <t>ผู้บริหารเทศบาล  และผู้ที่เกี่ยวข้อง</t>
  </si>
  <si>
    <t>และจัดทำเอกสารประชาสัมพันธ์/</t>
  </si>
  <si>
    <t>เผยแพร่ความรู้ด้านกฎหมาย</t>
  </si>
  <si>
    <t>ประชุมคณะกรรมการประเมินผล</t>
  </si>
  <si>
    <t>การปฏิบัติงาน  ฝึกอบรม   สัมมนา</t>
  </si>
  <si>
    <t>ด้านการปฎิบัติราชการตามหลักเกณฑ์</t>
  </si>
  <si>
    <t>และวิธีการบริหารกิจการบ้านเมืองที่ดี</t>
  </si>
  <si>
    <t>ให้แก่สมาชิกสภาเทศบาล  ผู้บริหาร</t>
  </si>
  <si>
    <t>บุคลากรเทศบาล   และผู้ที่เกี่ยวข้อง</t>
  </si>
  <si>
    <t>รวมถึงการจัดทำรายงานการประเมิน</t>
  </si>
  <si>
    <t>ผลการปฏิบัติราชการและสื่อประชา</t>
  </si>
  <si>
    <t>สัมพันธ์ผลการดำเนินงานของเทศบาล</t>
  </si>
  <si>
    <t>ฝึกอบรมการจัดทำโครงการพัฒนาและ</t>
  </si>
  <si>
    <t>การติดตามและประเมินผลโครงการ</t>
  </si>
  <si>
    <t>ให้แก่หัวหน้าส่วนราชการและเจ้าหน้าที่</t>
  </si>
  <si>
    <t>เทศบาลนครปากเกร็ด  ฝึกอบรม</t>
  </si>
  <si>
    <t>ประชุมคณะทำงานศูนย์ดำรงธรรม</t>
  </si>
  <si>
    <t>ดำรงธรรม  ให้แก่คณะกรรมการศูนย์ฯ</t>
  </si>
  <si>
    <t>คณะทำงานศูนย์ฯ สมาชิกสภาเทศบาล</t>
  </si>
  <si>
    <t xml:space="preserve">พัฒนาความรู้เกี่ยวกับวินัย </t>
  </si>
  <si>
    <t>พนักงานและกฎหมายท้องถิ่น</t>
  </si>
  <si>
    <t>ฝึกอบรม สัมมนา ด้านข้อกฎหมาย</t>
  </si>
  <si>
    <t>ทั่วไป  ข้อกฎหมายที่เกี่ยวข้องกับ</t>
  </si>
  <si>
    <t>การปฏิบัติงาน  การรับฟังความคิดเห็น</t>
  </si>
  <si>
    <t xml:space="preserve">ของประชาชน  ให้แก่ผู้บริหาร </t>
  </si>
  <si>
    <t>อนุรักษ์และพัฒนาตลาดเก่า</t>
  </si>
  <si>
    <t>ริมน้ำปากเกร็ดแบบมีส่วนร่วม</t>
  </si>
  <si>
    <t>อย่างยั่งยืน</t>
  </si>
  <si>
    <t>ประชาชน ฝึกอบรม สัมมนา ด้านการ</t>
  </si>
  <si>
    <t>พัฒนาตลาดเก่าริมน้ำปากเกร็ด</t>
  </si>
  <si>
    <t>แบบมีส่วนร่วมอย่างยั่งยืน  ให้แก่</t>
  </si>
  <si>
    <t>เจ้าหน้าที่ผู้รับผิดชอบโครงการ และ</t>
  </si>
  <si>
    <t>คณะกรรมการที่ปรึกษา  คณะทำงาน</t>
  </si>
  <si>
    <t>โครงการ   คณะอนุกรรมการ</t>
  </si>
  <si>
    <t>วันเฉลิมพระชนมพรรษา</t>
  </si>
  <si>
    <t>จัดงานพิธี/กิจกรรม เนื่องในวัน</t>
  </si>
  <si>
    <t>เฉลิมพระชนมพรรษาและวันสำคัญ</t>
  </si>
  <si>
    <t>ของชาติ ศาสนา พระมหากษัตริย์</t>
  </si>
  <si>
    <t>เทิดพระเกียรติสมเด็จ</t>
  </si>
  <si>
    <t>พระศรีนครินทราบรมราช</t>
  </si>
  <si>
    <t>ชนนี</t>
  </si>
  <si>
    <t>จัดงานพิธี/กิจกรรม เนื่องในโอกาส</t>
  </si>
  <si>
    <t>วันที่ระลึกวันคล้ายวันพระราช</t>
  </si>
  <si>
    <t>สมภพ และวันคล้ายวันสวรรคต</t>
  </si>
  <si>
    <t>ของสมเด็จพระศรีนครินทรา</t>
  </si>
  <si>
    <t>บรมราชชนนี</t>
  </si>
  <si>
    <t>วันเทศบาล</t>
  </si>
  <si>
    <t>จัดพิธีการทางศาสนา จัดงาน/</t>
  </si>
  <si>
    <t>นิทรรศการ จัดกิจกรรมอันเป็น</t>
  </si>
  <si>
    <t>สาธารณประโยชน์เนื่องในวัน</t>
  </si>
  <si>
    <t xml:space="preserve">  -๔-</t>
  </si>
  <si>
    <t xml:space="preserve">  -๕-</t>
  </si>
  <si>
    <t xml:space="preserve">   -๖-</t>
  </si>
  <si>
    <t xml:space="preserve">   -๗-</t>
  </si>
  <si>
    <t>เสริมสร้างความรู้ด้านการ</t>
  </si>
  <si>
    <t>งบประมาณขององค์กรปกครอง</t>
  </si>
  <si>
    <t>ส่วนท้องถิ่น</t>
  </si>
  <si>
    <t>รายได้</t>
  </si>
  <si>
    <t>ฝึกอบรม สัมมนา ด้านการงบประมาณ</t>
  </si>
  <si>
    <t>เทศบาล คณะกรรมการชุมชน และ</t>
  </si>
  <si>
    <t>และด้านอื่น ๆ ที่เกี่ยวข้อง  ให้แก่</t>
  </si>
  <si>
    <t xml:space="preserve"> - ประชุมรับฟังความคิดเห็นของ</t>
  </si>
  <si>
    <t xml:space="preserve"> - จ้างที่ปรึกษา/ผู้เชี่ยวชาญจาก</t>
  </si>
  <si>
    <t>จ้างที่ปรึกษา/ผู้เชี่ยวชาญจาก</t>
  </si>
  <si>
    <t>หน่วยงานภายนอกเพื่อศึกษาและ</t>
  </si>
  <si>
    <t>สำรวจข้อมูลการพัฒนาตลาดเก่า</t>
  </si>
  <si>
    <t>ริมน้ำปากเกร็ด และจัดทำแผนที่ชุมชน</t>
  </si>
  <si>
    <t>แผนพัฒนาและแผนการประชาสัมพันธ์</t>
  </si>
  <si>
    <t>เพื่อใช้เป็นข้อมูลในการพัฒนาและ</t>
  </si>
  <si>
    <t>ปรับปรุงตลาดเก่าริมน้ำปากเกร็ด</t>
  </si>
  <si>
    <t>ตลาดเก่าริมน้ำ</t>
  </si>
  <si>
    <t xml:space="preserve">  -๘-</t>
  </si>
  <si>
    <t>ปรับปรุงทางเข้า – ออกบริเวณ</t>
  </si>
  <si>
    <t xml:space="preserve">ปรับปรุงขยายทางเข้า – ออก  </t>
  </si>
  <si>
    <t xml:space="preserve">ตู้เก็บค่าธรรมเนียมจอดค่ายานยนต์  </t>
  </si>
  <si>
    <t>ลานจอดรถใต้สะพานพระราม ๔</t>
  </si>
  <si>
    <t xml:space="preserve">บริเวณลานจอดยานยนต์ที่ ๑ – ๓  </t>
  </si>
  <si>
    <t>ใต้สะพานพระราม ๔  ขนาดกว้าง</t>
  </si>
  <si>
    <t xml:space="preserve">ประมาณ ๓ เมตร  ยาวรวมประมาณ </t>
  </si>
  <si>
    <t xml:space="preserve">๑๐๐  เมตร  รวมพื้นที่ไม่น้อยกว่า </t>
  </si>
  <si>
    <t>๓๐๐ ตารางเมตร  พร้อมเคลื่อนย้าย</t>
  </si>
  <si>
    <t>พระราม ๔</t>
  </si>
  <si>
    <t>ลานจอดยานยนต์ที่</t>
  </si>
  <si>
    <t>๑ – ๓  ใต้สะพาน</t>
  </si>
  <si>
    <t xml:space="preserve">   -๙-</t>
  </si>
  <si>
    <t>ดนตรีเพื่อประชาชน</t>
  </si>
  <si>
    <t>จัดกิจกรรมด้านดนตรีและการ</t>
  </si>
  <si>
    <t>แสดงบนเวที ให้แก่เยาวชนและ</t>
  </si>
  <si>
    <t>จัดงานวันเด็ก</t>
  </si>
  <si>
    <t xml:space="preserve">  -๑๐-</t>
  </si>
  <si>
    <t>ความสามารถด้านต่าง ๆ เช่น ประกวด</t>
  </si>
  <si>
    <t>มารยาทไทย/คัดไทย/วาดภาพ</t>
  </si>
  <si>
    <t>การประกวดอ่านทำนองเสนาะ เป็นต้น</t>
  </si>
  <si>
    <t>ให้แก่เด็กและเยาวชน</t>
  </si>
  <si>
    <t>ส่งเสริมศักยภาพเด็กและเยาวชน</t>
  </si>
  <si>
    <t>กิจกรรมชุมชนสัมพันธ์</t>
  </si>
  <si>
    <t>จัดกิจกรรมเชื่อมความสัมพันธ์ระหว่าง</t>
  </si>
  <si>
    <t>ชุมชน/จัดการแข่งขันกีฬาสากลและ</t>
  </si>
  <si>
    <t>กีฬาพื้นบ้านให้แก่ชุมชนในเขตเทศบาล</t>
  </si>
  <si>
    <t>ประเพณีวันขึ้นปีใหม่</t>
  </si>
  <si>
    <t>จัดงานประเพณีวันขึ้นปีใหม่</t>
  </si>
  <si>
    <t>ประเพณีแห่เทียนพรรษา</t>
  </si>
  <si>
    <t>จัดงานประเพณีแห่เทียนพรรษา</t>
  </si>
  <si>
    <t>จัดกิจกรรมเยาวชนสัมพันธ์</t>
  </si>
  <si>
    <t>ฝึกอบรมด้านการอนุรักษ์ธรรมชาติ</t>
  </si>
  <si>
    <t>โรงเรียนในเขตเทศบาล  และ</t>
  </si>
  <si>
    <t xml:space="preserve">และสิ่งแวดล้อม  ให้แก่เยาวชน </t>
  </si>
  <si>
    <t>จัดการประชุมสภาเด็กและ</t>
  </si>
  <si>
    <t>เยาวชนเทศบาลนครปากเกร็ด</t>
  </si>
  <si>
    <t xml:space="preserve">นครปากเกร็ด </t>
  </si>
  <si>
    <t>สังคม  ให้แก่เด็กและเยาวชนในเขต</t>
  </si>
  <si>
    <t>สายใยสัมพันธ์</t>
  </si>
  <si>
    <t>จัดกิจกรรม ฝึกอบรม เพื่อส่งเสริม</t>
  </si>
  <si>
    <t>และสร้างความสัมพันธ์อันดีภายใน</t>
  </si>
  <si>
    <t>ครอบครัว ให้แก่เด็ก ผู้ปกครอง และ</t>
  </si>
  <si>
    <t>ผู้ที่เกี่ยวข้องในศูนย์พัฒนาเด็กเล็ก</t>
  </si>
  <si>
    <t>ในสังกัดเทศบาล</t>
  </si>
  <si>
    <t>คุณธรรมและจริยธรรม ให้แก่บุคลากร</t>
  </si>
  <si>
    <t>ทางการศึกษา และผู้ที่เกี่ยวข้อง</t>
  </si>
  <si>
    <t xml:space="preserve">   -๑๒-</t>
  </si>
  <si>
    <t>ประชุม ฝึกอบรม และจัดกิจกรรมเพื่อ</t>
  </si>
  <si>
    <t>ระลึกถึงพระคุณและยกย่องเชิดชู</t>
  </si>
  <si>
    <t>เกียรติครูและบุคลากรทางการศึกษา</t>
  </si>
  <si>
    <t>ให้แก่ศูนย์พัฒนาเด็กเล็กและโรงเรียน</t>
  </si>
  <si>
    <t>และโรงเรียนใน</t>
  </si>
  <si>
    <t>สังกัดเทศบาล</t>
  </si>
  <si>
    <t>เสริมสร้างความรู้เกี่ยวกับ</t>
  </si>
  <si>
    <t>การเมืองการปกครองและ</t>
  </si>
  <si>
    <t>การมีส่วนร่วมของประชาชน</t>
  </si>
  <si>
    <t>ประชุม ฝึกอบรม จัดกิจกรรม</t>
  </si>
  <si>
    <t>เพื่อเสริมสร้างความรู้เกี่ยวกับ</t>
  </si>
  <si>
    <t>การเมืองการปกครองและการมี</t>
  </si>
  <si>
    <t>ส่วนร่วมของประชาชน ให้แก่เด็ก</t>
  </si>
  <si>
    <t>และเยาวชนในเขตเทศบาล</t>
  </si>
  <si>
    <t>ปรับปรุงอาคารเรียน โรงเรียน</t>
  </si>
  <si>
    <t>วัดบ่อ</t>
  </si>
  <si>
    <t>โรงเรียนวัดบ่อ (นันทวิทยา) โดยปู</t>
  </si>
  <si>
    <t>กระเบื้องในห้องเรียน และระเบียง</t>
  </si>
  <si>
    <t xml:space="preserve">ปรับปรุงอาคารเรียน อาคาร ๑ </t>
  </si>
  <si>
    <t xml:space="preserve">ชั้นที่ ๒ และ ๓  พื้นที่ประมาณ </t>
  </si>
  <si>
    <t>๑,๐๔๐.๐๐ ตร.ม.  ตามแบบรูปและ</t>
  </si>
  <si>
    <t xml:space="preserve">   -๑๓-</t>
  </si>
  <si>
    <t>ปรับปรุงอาคารโรงเรียนวัดกู้</t>
  </si>
  <si>
    <t xml:space="preserve">ปรับปรุงอาคารโรงเรียนวัดกู้ </t>
  </si>
  <si>
    <t>(นันทาภิวัฒน์วิทยา) ตามแบบรูปและ</t>
  </si>
  <si>
    <t>รายการของเทศบาล  ซึ่งมีรายละเอียด</t>
  </si>
  <si>
    <t xml:space="preserve">โดยติดตั้งโครงหลังคาสแตนเลส  </t>
  </si>
  <si>
    <t xml:space="preserve">พร้อมมุง  Metal  Sheet  หนา </t>
  </si>
  <si>
    <t>หลังคามุงด้วย  Metal Sheet  พื้นที่</t>
  </si>
  <si>
    <t xml:space="preserve">รางน้ำฝนและท่อน้ำฝนสแตนเลส  </t>
  </si>
  <si>
    <t>และตู้คอนเทนเนอร์  โดยติดตั้ง</t>
  </si>
  <si>
    <t xml:space="preserve">โครงเหล็กหลังคามุงด้วย Metal </t>
  </si>
  <si>
    <t>พร้อมติดตั้งรางน้ำฝนและท่อน้ำฝน</t>
  </si>
  <si>
    <t xml:space="preserve">สแตนเลส  ความยาวไม่น้อยกว่า  </t>
  </si>
  <si>
    <t xml:space="preserve">  - ติดตั้งกันสาดด้านหลังอาคาร ๑ </t>
  </si>
  <si>
    <t xml:space="preserve">ทุกชั้น และอาคาร ๒ ชั้นที่ ๒ และ ๓  </t>
  </si>
  <si>
    <t xml:space="preserve">๐.๔๐  มม.  พื้นที่ไม่น้อยกว่า  </t>
  </si>
  <si>
    <t>๑๖๐.๐๐  ตร.ม.</t>
  </si>
  <si>
    <t xml:space="preserve">  - ติดตั้งหลังคาเชื่อมระหว่างอาคาร ๑</t>
  </si>
  <si>
    <t>และอาคาร ๒  โดยติดตั้งโครงเหล็ก</t>
  </si>
  <si>
    <t>ไม่น้อยกว่า ๔๕.๐๐ ตร.ม. พร้อมติดตั้ง</t>
  </si>
  <si>
    <t>ความยาวประมาณ ๕.๕๐ ม.</t>
  </si>
  <si>
    <t xml:space="preserve">  - ติดตั้งหลังคาเชื่อมระหว่างอาคาร ๑ </t>
  </si>
  <si>
    <t>Sheet พื้นที่ไม่น้อยกว่า ๓๐.๐๐ ตร.ม.</t>
  </si>
  <si>
    <t>๕.๕๐ ม.</t>
  </si>
  <si>
    <t xml:space="preserve">  -๑๔-</t>
  </si>
  <si>
    <t>ปรับปรุงห้องประชุมโรงเรียน</t>
  </si>
  <si>
    <t>วัดกู้</t>
  </si>
  <si>
    <t xml:space="preserve">ปรับปรุงห้องประชุมโรงเรียนวัดกู้ </t>
  </si>
  <si>
    <t>(นันทาภิวัฒน์วิทยา)  โดยติดตั้งฉาก</t>
  </si>
  <si>
    <t>กั้นห้อง PVC แบบทึบแสง  พร้อม</t>
  </si>
  <si>
    <t xml:space="preserve">พื้นที่ไม่น้อยกว่า ๒๔.๐๐ ตร.ม.  </t>
  </si>
  <si>
    <t>อุปกรณ์ ในห้องประชุมชั้น ๓ อาคาร ๑</t>
  </si>
  <si>
    <t xml:space="preserve">ทาสีภายนอกอาคารเรียน  </t>
  </si>
  <si>
    <t>โรงเรียนผาสุกมณีจักรมิตรภาพ</t>
  </si>
  <si>
    <t>ที่ ๑๑๖</t>
  </si>
  <si>
    <t>โรงเรียนผาสุก</t>
  </si>
  <si>
    <t>ทาสีภายนอกอาคารเรียน  โรงเรียน</t>
  </si>
  <si>
    <t xml:space="preserve">ผาสุกมณีจักรมิตรภาพที่ ๑๑๖ </t>
  </si>
  <si>
    <t xml:space="preserve">โดยทาสีภายนอกอาคารเรียน อาคาร ๒ </t>
  </si>
  <si>
    <t xml:space="preserve">และอาคาร ๓  พื้นที่ประมาณ  </t>
  </si>
  <si>
    <t>๑,๖๙๐.๐๐ ตร.ม.  ตามแบบรูปและ</t>
  </si>
  <si>
    <t>ที่ ๑๑๖ ต.บางพูด</t>
  </si>
  <si>
    <t>ปรับปรุงรั้วศูนย์พัฒนาเด็กเล็ก</t>
  </si>
  <si>
    <t xml:space="preserve">ประชาสงเคราะห์  </t>
  </si>
  <si>
    <t>ประชาสงเคราะห์บางส่วน และประตู</t>
  </si>
  <si>
    <t>ทางเข้าศูนย์พัฒนาเด็กเล็ก  ความยาว</t>
  </si>
  <si>
    <t>ปรับปรุงศูนย์พัฒนาเด็กเล็ก</t>
  </si>
  <si>
    <t>ประชาสงเคราะห์</t>
  </si>
  <si>
    <t>ปรับปรุงศูนย์พัฒนาเด็กเล็กประชา</t>
  </si>
  <si>
    <t>สงเคราะห์ ตามแบบรูปและรายการ</t>
  </si>
  <si>
    <t>ของเทศบาล  ซึ่งมีรายละเอียด</t>
  </si>
  <si>
    <t xml:space="preserve">  -๑๕-</t>
  </si>
  <si>
    <t xml:space="preserve"> - ติดตั้งรางน้ำฝนและท่อน้ำฝน  </t>
  </si>
  <si>
    <t>ส่วนเชื่อมต่ออาคารเรียนของ</t>
  </si>
  <si>
    <t>ศูนย์พัฒนาเด็กเล็ก และสนาม</t>
  </si>
  <si>
    <t xml:space="preserve">เด็กเล่น ความยาวประมาณ </t>
  </si>
  <si>
    <t xml:space="preserve"> - ติดตั้งรางน้ำฝนด้านหน้าศูนย์</t>
  </si>
  <si>
    <t xml:space="preserve">พัฒนาเด็กเล็ก ความยาวประมาณ  </t>
  </si>
  <si>
    <t xml:space="preserve">                               </t>
  </si>
  <si>
    <t xml:space="preserve"> - ทาสีภายนอกอาคารศูนย์พัฒนา</t>
  </si>
  <si>
    <t xml:space="preserve"> - ติดตั้งโครงหลังคาเหล็กมุงด้วย </t>
  </si>
  <si>
    <t>Metal Sheet  พื้นที่ไม่น้อยกว่า</t>
  </si>
  <si>
    <t xml:space="preserve">๓๙.๐๐ ม.  </t>
  </si>
  <si>
    <t xml:space="preserve">๕๑.๐๐ ม.  </t>
  </si>
  <si>
    <t>เด็กเล็กและกำแพงรั้ว  พื้นที่</t>
  </si>
  <si>
    <t>ประมาณ ๘๗๐.๐๐ ตร.ม.</t>
  </si>
  <si>
    <t>๔๐ ตร.ม.</t>
  </si>
  <si>
    <t>ถมที่ดินบริเวณหนองบอน</t>
  </si>
  <si>
    <t>จ้างเหมาถมที่ดินบริเวณ</t>
  </si>
  <si>
    <t>หนองบอน ต.บ้านใหม่ เพื่อใช้เป็น</t>
  </si>
  <si>
    <t xml:space="preserve">สถานที่ก่อสร้างโรงเรียนเทศบาล </t>
  </si>
  <si>
    <t>ตามแบบรูปและรายการของ</t>
  </si>
  <si>
    <t xml:space="preserve">บริเวณหนองบอน </t>
  </si>
  <si>
    <t>และภายในเขต</t>
  </si>
  <si>
    <t>เทศบาลนคร</t>
  </si>
  <si>
    <t xml:space="preserve">   -๑๖-</t>
  </si>
  <si>
    <t>ให้บริการเชิงรุกด้าน</t>
  </si>
  <si>
    <t>ทันตสาธารณสุขในชุมชน</t>
  </si>
  <si>
    <t>จัดกิจกรรมเพื่อเผยแพร่ความรู้</t>
  </si>
  <si>
    <t>ด้านทันตสุขภาพ และออกหน่วย</t>
  </si>
  <si>
    <t>บริการเคลื่อนที่เพื่อตรวจ</t>
  </si>
  <si>
    <t xml:space="preserve">คัดกรองสุขภาพช่องปากและฟัน  </t>
  </si>
  <si>
    <t>และรักษาโรคทางทันตกรรม ให้แก่</t>
  </si>
  <si>
    <t>รณรงค์ควบคุมจำนวนประชากร</t>
  </si>
  <si>
    <t>สุนัขและแมวในเขตเทศบาล</t>
  </si>
  <si>
    <t>รณรงค์ป้องกันและควบคุม</t>
  </si>
  <si>
    <t>โรคพิษสุนัขบ้า</t>
  </si>
  <si>
    <t xml:space="preserve">  -๑๗-</t>
  </si>
  <si>
    <t>ส่งเสริมและพัฒนามาตรฐาน</t>
  </si>
  <si>
    <t>การสุขาภิบาลอาหาร</t>
  </si>
  <si>
    <t>Clean  Food  Good  Taste  และ</t>
  </si>
  <si>
    <t xml:space="preserve">ด้านอาหาร  </t>
  </si>
  <si>
    <t xml:space="preserve"> - ฝึกอบรมผู้ประกอบการจำหน่าย</t>
  </si>
  <si>
    <t xml:space="preserve"> - ตรวจประเมินสถานประกอบการ</t>
  </si>
  <si>
    <t xml:space="preserve"> - จัดพิธีมอบป้ายมาตรฐาน </t>
  </si>
  <si>
    <t xml:space="preserve">ป้าย Food Safety  </t>
  </si>
  <si>
    <t xml:space="preserve"> - จัดงาน/กิจกรรม  นิทรรศการ  และ</t>
  </si>
  <si>
    <t>การตรวจแนะนำร้านจำหน่ายอาหาร</t>
  </si>
  <si>
    <t xml:space="preserve">และผู้ค้าในตลาดสด   </t>
  </si>
  <si>
    <t>เพื่อให้ความรู้และยกระดับด้านการ</t>
  </si>
  <si>
    <t>สุขาภิบาลอาหารให้ได้มาตรฐาน</t>
  </si>
  <si>
    <t>ตั้งไว้</t>
  </si>
  <si>
    <t>พัฒนาศักยภาพผู้ดูแล</t>
  </si>
  <si>
    <t>ฌาปนสถาน</t>
  </si>
  <si>
    <t xml:space="preserve">ฝึกอบรมด้านการประกอบฌาปนกิจ </t>
  </si>
  <si>
    <t>และการดูแลรักษาสุขภาพของผู้ดูแล</t>
  </si>
  <si>
    <t>ฌาปนสถานที่ถูกสุขลักษณะ การตรวจ</t>
  </si>
  <si>
    <t>และคัดกรองสุขภาพผู้ดูแลฌาปนสถาน</t>
  </si>
  <si>
    <t xml:space="preserve">  -๑๘-</t>
  </si>
  <si>
    <t>ส่งเสริมและพัฒนาศักยภาพ</t>
  </si>
  <si>
    <t>ฝึกอบรมผู้ดูแลคนพิการ ให้ความรู้</t>
  </si>
  <si>
    <t>และคำปรึกษาด้านการดูแลรักษา</t>
  </si>
  <si>
    <t>สุขภาพ  การให้บริการตรวจ</t>
  </si>
  <si>
    <t>คัดกรองสุขภาพประจำปีสำหรับ</t>
  </si>
  <si>
    <t xml:space="preserve">คนพิการ </t>
  </si>
  <si>
    <t>ฝึกอบรม ประชุมวิชาการ  เพื่อพัฒนา</t>
  </si>
  <si>
    <t>มูลฐานแก่ครอบครัวและชุมชน  และ</t>
  </si>
  <si>
    <t>การพัฒนาการดำเนินงานสาธารณสุข</t>
  </si>
  <si>
    <t>มูลฐานให้แก่ อสม.  และผู้ที่เกี่ยวข้อง</t>
  </si>
  <si>
    <t>มหกรรมสร้างเสริมสุขภาพ</t>
  </si>
  <si>
    <t>ผู้สูงอายุ</t>
  </si>
  <si>
    <t>ฝึกอบรม จัดกิจกรรมกลุ่มสร้างเสริม</t>
  </si>
  <si>
    <t>สุขภาพ  ตรวจสมรรถภาพทางกาย</t>
  </si>
  <si>
    <t xml:space="preserve">ให้แก่ผู้สูงอายุ  </t>
  </si>
  <si>
    <t>ฝึกอบรมด้านการสาธารณสุขและ</t>
  </si>
  <si>
    <t>สิ่งแวดล้อม ให้แก่เยาวชน อาสาสมัคร</t>
  </si>
  <si>
    <t>สาธารณสุขรุ่นเยาว์  ผู้นำชุมชน</t>
  </si>
  <si>
    <t xml:space="preserve">          </t>
  </si>
  <si>
    <t>ฝึกอบรมการแพทย์แผนไทย</t>
  </si>
  <si>
    <t xml:space="preserve">ฝึกอบรมด้านการแพทย์แผนไทย  </t>
  </si>
  <si>
    <t>ให้แก่ประชาชนและอาสาสมัคร</t>
  </si>
  <si>
    <t xml:space="preserve">สาธารณสุข (อสม.)  </t>
  </si>
  <si>
    <t xml:space="preserve">    -๑๙-</t>
  </si>
  <si>
    <t>คนไทยไร้พุง</t>
  </si>
  <si>
    <t>ฝึกอบรมเพื่อสร้างแกนนำด้าน</t>
  </si>
  <si>
    <t>การดูแลเสริมสร้างสุขภาพและ</t>
  </si>
  <si>
    <t>โภชนาการที่ถูกต้อง ให้แก่สมาชิก</t>
  </si>
  <si>
    <t xml:space="preserve">ชมรมสร้างเสริมสุขภาพ  </t>
  </si>
  <si>
    <t>ครู/เจ้าหน้าที่ของศูนย์พัฒนา</t>
  </si>
  <si>
    <t>เด็กเล็กเทศบาลนครปากเกร็ด</t>
  </si>
  <si>
    <t>และประชาชน รวมถึงการเฝ้าระวัง</t>
  </si>
  <si>
    <t xml:space="preserve">ติดตามภาวะอ้วนลงพุงของ </t>
  </si>
  <si>
    <t xml:space="preserve">ประชาชน </t>
  </si>
  <si>
    <t>โภชนาการในเด็กก่อนวัยเรียน</t>
  </si>
  <si>
    <t>ฝึกอบรมเฝ้าระวังและแก้ไขปัญหา</t>
  </si>
  <si>
    <t xml:space="preserve">  ตั้งไว้</t>
  </si>
  <si>
    <t>ส่งเสริมพัฒนาศักยภาพ</t>
  </si>
  <si>
    <t>การป้องกันและควบคุมโรค</t>
  </si>
  <si>
    <t>อุบัติใหม่ หรือมีการระบาด</t>
  </si>
  <si>
    <t xml:space="preserve">                </t>
  </si>
  <si>
    <t xml:space="preserve">และภัยสุขภาพ </t>
  </si>
  <si>
    <t xml:space="preserve">ฝึกอบรมด้านการเฝ้าระวัง </t>
  </si>
  <si>
    <t>การป้องกันควบคุมโรคอุบัติใหม่หรือ</t>
  </si>
  <si>
    <t xml:space="preserve">มีการระบาด  และภัยสุขภาพ  </t>
  </si>
  <si>
    <t>เพื่อพัฒนาศักยภาพในการเป็นแกนนำ</t>
  </si>
  <si>
    <t xml:space="preserve">ชุมชนหรือ อสม. ให้แก่ประชาชน </t>
  </si>
  <si>
    <t>อบรมพัฒนาศักยภาพผู้นำ</t>
  </si>
  <si>
    <t>ด้านการจัดการสุขภาวะ</t>
  </si>
  <si>
    <t>ฝึกอบรมและจัดกิจกรรมด้านการ</t>
  </si>
  <si>
    <t>จัดการสุขภาวะ ให้แก่คณะกรรมการ</t>
  </si>
  <si>
    <t xml:space="preserve">ชุมชน  องค์กรชุมชน  และผู้ที่เกี่ยวข้อง </t>
  </si>
  <si>
    <t xml:space="preserve">  -๒๐-</t>
  </si>
  <si>
    <t>ร่วมบูรณาการพัฒนาท้องถิ่น</t>
  </si>
  <si>
    <t>ฝึกอบรมด้านการสาธารณสุข อนามัย</t>
  </si>
  <si>
    <t>สิ่งแวดล้อม การพัฒนาท้องถิ่นในด้าน</t>
  </si>
  <si>
    <t xml:space="preserve">ต่าง ๆ  ให้แก่  อาสาสมัครสาธารณสุข </t>
  </si>
  <si>
    <t xml:space="preserve">(อสม.)  แกนนำชุมชนในเขตเทศบาล  </t>
  </si>
  <si>
    <t>พัฒนาบุคลากรด้านสาธารณสุข</t>
  </si>
  <si>
    <t xml:space="preserve">และสิ่งแวดล้อม  </t>
  </si>
  <si>
    <t>ฝึกอบรมบุคลากรที่ปฏิบัติงานด้าน</t>
  </si>
  <si>
    <t>สาธารณสุขและสิ่งแวดล้อม  ให้แก่</t>
  </si>
  <si>
    <t xml:space="preserve">บุคลากรเทศบาลและผู้ที่เกี่ยวข้อง </t>
  </si>
  <si>
    <t>ปรับปรุงโรงฆ่าสัตว์เก่า</t>
  </si>
  <si>
    <t>เป็นศูนย์เรียนรู้ด้านสิ่งแวดล้อม</t>
  </si>
  <si>
    <t>ปรับปรุงโรงฆ่าสัตว์เก่าเป็นศูนย์เรียนรู้</t>
  </si>
  <si>
    <t>ด้านสิ่งแวดล้อม  ตามแบบรูปและ</t>
  </si>
  <si>
    <t>รายการของเทศบาล ดังนี้</t>
  </si>
  <si>
    <t xml:space="preserve"> - ก่อสร้างอาคาร ค.ส.ล.ชั้นเดียว</t>
  </si>
  <si>
    <t>เพื่อใช้เป็นศูนย์การเรียนรู้ ขนาดกว้าง</t>
  </si>
  <si>
    <t xml:space="preserve">สถานที่ และติดตั้งเครื่องปรับอากาศ  </t>
  </si>
  <si>
    <t>เครื่องดูดอากาศ  และเครื่อง</t>
  </si>
  <si>
    <t xml:space="preserve">กรองอากาศชนิดมีระบบฆ่าเชื้อโรค  </t>
  </si>
  <si>
    <t>โรงฆ่าสัตว์เก่าของ</t>
  </si>
  <si>
    <t>เทศบาล ต.ปากเกร็ด</t>
  </si>
  <si>
    <t xml:space="preserve"> - ก่อสร้างโรงหมักน้ำจุลินทรีย์ และ</t>
  </si>
  <si>
    <t>บ่อหมักปุ๋ย</t>
  </si>
  <si>
    <t xml:space="preserve"> - ปรับปรุงโรงเก็บขยะอันตราย  </t>
  </si>
  <si>
    <t xml:space="preserve"> - ปรับปรุงหลังคาพร้อมติดตั้ง  </t>
  </si>
  <si>
    <t>เครื่องดูดความร้อน</t>
  </si>
  <si>
    <t xml:space="preserve"> - ปรับปรุงอาคารเก่าด้านหลังกำแพง</t>
  </si>
  <si>
    <t xml:space="preserve">เป็นโรงปลูกผัก  </t>
  </si>
  <si>
    <t>ปรับปรุงศูนย์บริการ</t>
  </si>
  <si>
    <t xml:space="preserve">สาธารณสุข ๑ </t>
  </si>
  <si>
    <t xml:space="preserve">ประมาณ ๘.๐๐ ม.  ยาวประมาณ </t>
  </si>
  <si>
    <t xml:space="preserve">๑๒.๐๐ ม.  พื้นที่ใช้สอยประมาณ </t>
  </si>
  <si>
    <t>๙๖.๐๐ ตร.ม. พร้อมตกแต่งอาคาร</t>
  </si>
  <si>
    <t xml:space="preserve">ปรับปรุงศูนย์บริการสาธารณสุข ๑  </t>
  </si>
  <si>
    <t>โดยปรับปรุงบริเวณพื้นที่ด้านหน้า</t>
  </si>
  <si>
    <t>และทางเข้า  จัดทำป้ายชื่อศูนย์</t>
  </si>
  <si>
    <t>บริการสาธารณสุข  จัดทำกล่อง</t>
  </si>
  <si>
    <t>ปิดเสาตัวอาคาร / ตู้เก็บของ</t>
  </si>
  <si>
    <t xml:space="preserve">ใต้อ่างล้างมือ / รางน้ำฝนเพิ่มเติม  </t>
  </si>
  <si>
    <t xml:space="preserve">จัดทำและติดตั้งเหล็กดัดรอบตัวอาคาร/ </t>
  </si>
  <si>
    <t>ประตูห้องเก็บเครื่องปั๊มลมยูนิต</t>
  </si>
  <si>
    <t>ทันตกรรม  และต่อเติมห้องจ่ายยา</t>
  </si>
  <si>
    <t>ผู้ป่วย ตามแบบรูปและรายการ</t>
  </si>
  <si>
    <t>ศูนย์บริการ</t>
  </si>
  <si>
    <t xml:space="preserve">  -๒๑-</t>
  </si>
  <si>
    <t>นครปากเกร็ด /</t>
  </si>
  <si>
    <t xml:space="preserve">   -๒๒-</t>
  </si>
  <si>
    <t>สัมมนาเชิงปฏิบัติการระหว่าง</t>
  </si>
  <si>
    <t>ผู้บริหารเทศบาลและ</t>
  </si>
  <si>
    <t>คณะกรรมการชุมชน</t>
  </si>
  <si>
    <t>สัมมนาเชิงปฏิบัติการระหว่างผู้บริหาร</t>
  </si>
  <si>
    <t>เทศบาลกับคณะกรรมการชุมชนและ</t>
  </si>
  <si>
    <t>ผู้ที่เกี่ยวข้อง เพื่อให้ผู้บริหารเทศบาล</t>
  </si>
  <si>
    <t>ได้รับทราบปัญหาความต้องการของ</t>
  </si>
  <si>
    <t>ชุมชน  และแจ้งนโยบายและแนวทาง</t>
  </si>
  <si>
    <t xml:space="preserve">การพัฒนาของเทศบาลให้ชุมชนทราบ </t>
  </si>
  <si>
    <t xml:space="preserve">  -๒๓-</t>
  </si>
  <si>
    <t>สนับสนุนการดำเนินงาน</t>
  </si>
  <si>
    <t>เครือข่ายกองทุนชุมชนเมือง</t>
  </si>
  <si>
    <t xml:space="preserve">ประชุม/สัมมนาเชิงปฏิบัติการ  </t>
  </si>
  <si>
    <t>ฝึกอบรม  จัดงาน/กิจกรรม  ของ</t>
  </si>
  <si>
    <t>เครือข่ายกองทุนชุมชนเมือง และ</t>
  </si>
  <si>
    <t xml:space="preserve">ผู้ที่เกี่ยวข้อง  เพื่อแลกเปลี่ยนความรู้  </t>
  </si>
  <si>
    <t>ประสบการณ์  และสร้างเครือข่าย</t>
  </si>
  <si>
    <t>ระหว่างกองทุนชุมชนเมืองทั้งในและ</t>
  </si>
  <si>
    <t xml:space="preserve">นอกเขตเทศบาล </t>
  </si>
  <si>
    <t xml:space="preserve">ฝึกอบรม สัมมนา จัดงาน/กิจกรรม </t>
  </si>
  <si>
    <t>ด้านคุณธรรมจริยธรรม ศิลปวัฒนธรรม</t>
  </si>
  <si>
    <t>และด้านอื่น ๆ ให้แก่  ผู้ด้อยโอกาส</t>
  </si>
  <si>
    <t>คณะกรรมการชุมชน องค์กรประชาชน</t>
  </si>
  <si>
    <t xml:space="preserve">และผู้ที่เกี่ยวข้อง </t>
  </si>
  <si>
    <t>อบรมสัมมนาด้านการพัฒนา</t>
  </si>
  <si>
    <t xml:space="preserve">ประชุม  ฝึกอบรม  สัมมนา   </t>
  </si>
  <si>
    <t>ประชุมเชิงปฏิบัติการด้านการจัดเก็บ</t>
  </si>
  <si>
    <t>และการสำรวจข้อมูลความจำเป็น</t>
  </si>
  <si>
    <t>ขั้นพื้นฐาน (จปฐ.)  ให้แก่ผู้จัดเก็บ</t>
  </si>
  <si>
    <t>ข้อมูล  และผู้ที่เกี่ยวข้อง  ค่าตอบแทน</t>
  </si>
  <si>
    <t xml:space="preserve"> -๒๔-</t>
  </si>
  <si>
    <t>ส่งเสริมความรู้และการ</t>
  </si>
  <si>
    <t>ดำเนินงานด้านสวัสดิการ</t>
  </si>
  <si>
    <t>สังคมให้แก่ผู้สูงอายุ</t>
  </si>
  <si>
    <t xml:space="preserve">ประชุมเชิงปฏิบัติการ  ฝึกอบรม </t>
  </si>
  <si>
    <t>สัมมนา  จัดงาน/กิจกรรม เพื่อเสริม</t>
  </si>
  <si>
    <t xml:space="preserve">สร้างความรู้ด้านการดูแลรักษาสุขภาพ  </t>
  </si>
  <si>
    <t xml:space="preserve">การปฐมพยาบาลเบื้องต้น  ให้บริการ   </t>
  </si>
  <si>
    <t>ตรวจสุขภาพ  หลักในการดำเนินชีวิต</t>
  </si>
  <si>
    <t>อย่างมีคุณค่า  การจัดสวัสดิการ</t>
  </si>
  <si>
    <t xml:space="preserve">สงเคราะห์ของเทศบาล  และด้านอื่น ๆ </t>
  </si>
  <si>
    <t>ที่ผู้สูงอายุสนใจ ให้แก่ผู้สูงอายุและ</t>
  </si>
  <si>
    <t>ฝึกอบรมวิชาชีพหลักสูตรระยะสั้น</t>
  </si>
  <si>
    <t>โดยจำแนกเป็นหลักสูตรศิลปะประดิษฐ์</t>
  </si>
  <si>
    <t>การทำอาหาร  และเบ็ดเตล็ดทั่วไป</t>
  </si>
  <si>
    <t>เพื่อส่งเสริมอาชีพให้แก่ประชาชน</t>
  </si>
  <si>
    <t>ในชุมชนเขตเทศบาล  และประชาชน</t>
  </si>
  <si>
    <t xml:space="preserve">ทั่วไป </t>
  </si>
  <si>
    <t>ฝึกอบรมวิชาชีพหลักสูตรระยะยาว</t>
  </si>
  <si>
    <t xml:space="preserve">  -๒๕-</t>
  </si>
  <si>
    <t>ฝึกอบรมวิชาชีพ  ให้แก่ประชาชน</t>
  </si>
  <si>
    <t xml:space="preserve">และองค์กรประชาชนกลุ่มต่าง ๆ ได้แก่ </t>
  </si>
  <si>
    <t xml:space="preserve">กลุ่มอาชีพในชุมชน กลุ่มสตรี ผู้สูงอายุ </t>
  </si>
  <si>
    <t xml:space="preserve">ผู้ด้อยโอกาส  ผู้พิการ  และผู้พ้นโทษ </t>
  </si>
  <si>
    <t>ในเขตเทศบาลนครปากเกร็ด โดยจัดทำ</t>
  </si>
  <si>
    <t xml:space="preserve">ของประชาชน </t>
  </si>
  <si>
    <t>หลักสูตรวิชาชีพ  ตามความต้องการ</t>
  </si>
  <si>
    <t xml:space="preserve">สัมมนา จัดงาน/กิจกรรม เพื่อพัฒนา   </t>
  </si>
  <si>
    <t>ศักยภาพ ให้แก่ กลุ่มผู้ผลิตสินค้าและ</t>
  </si>
  <si>
    <t xml:space="preserve">บริการ  กลุ่มผู้ประกอบการสินค้า </t>
  </si>
  <si>
    <t>OTOP  กลุ่มอาชีพในชุมชน  และ</t>
  </si>
  <si>
    <t>เจ้าหน้าที่ที่เกี่ยวข้อง</t>
  </si>
  <si>
    <t>ประชุมเชิงปฏิบัติการ  ฝึกอบรม</t>
  </si>
  <si>
    <t>สัมมนา  จัดงาน/กิจกรรม ด้านการ</t>
  </si>
  <si>
    <t>พัฒนารูปแบบและคุณภาพผลิตภัณฑ์</t>
  </si>
  <si>
    <t xml:space="preserve">ชุมชน ให้แก่ผู้ผลิตสินค้า ผู้ประกอบการ </t>
  </si>
  <si>
    <t>สินค้า OTOP กลุ่มอาชีพ กลุ่มแม่บ้าน</t>
  </si>
  <si>
    <t>ในชุมชน  และผู้ที่เกี่ยวข้อง รวมถึง</t>
  </si>
  <si>
    <t xml:space="preserve">  -๒๖-</t>
  </si>
  <si>
    <t>ปรับปรุงศูนย์ฝึกอาชีพและ</t>
  </si>
  <si>
    <t xml:space="preserve">จำหน่ายผลิตภัณฑ์ชุมชน </t>
  </si>
  <si>
    <t>ปรับปรุงศูนย์ฝึกอาชีพและจำหน่าย</t>
  </si>
  <si>
    <t>ผลิตภัณฑ์ชุมชน  ตามแบบรูปและ</t>
  </si>
  <si>
    <t>รายการของเทศบาล  ดังนี้</t>
  </si>
  <si>
    <t xml:space="preserve">                              </t>
  </si>
  <si>
    <t xml:space="preserve"> - ก่อสร้างระบบระบายน้ำภายใน</t>
  </si>
  <si>
    <t>บริเวณศูนย์ฝึกอาชีพฯ โดยวางท่อ</t>
  </si>
  <si>
    <t>ระบายน้ำพร้อมบ่อพักน้ำ ความยาว</t>
  </si>
  <si>
    <t xml:space="preserve">บ่อดักไขมันสำเร็จรูป จำนวน ๑ ชุด </t>
  </si>
  <si>
    <t xml:space="preserve">              </t>
  </si>
  <si>
    <t xml:space="preserve"> - ติดตั้งหลังคากันสาด Metal sheet </t>
  </si>
  <si>
    <t xml:space="preserve">โครงสร้างเหล็ก ขนาดกว้างประมาณ </t>
  </si>
  <si>
    <t xml:space="preserve">                        </t>
  </si>
  <si>
    <t xml:space="preserve"> - ก่อสร้างทางเชื่อม คสล. ระหว่าง</t>
  </si>
  <si>
    <t xml:space="preserve">อาคารโรงครัวกับอาคารหลังใหม่  </t>
  </si>
  <si>
    <t xml:space="preserve">                             </t>
  </si>
  <si>
    <t xml:space="preserve"> - ก่อสร้างพื้นทางเดินเท้า ค.ส.ล.</t>
  </si>
  <si>
    <t>ศูนย์ฝึกอาชีพและ</t>
  </si>
  <si>
    <t>จำหน่ายผลิตภัณฑ์</t>
  </si>
  <si>
    <t>ชุมชน ต.บางตลาด</t>
  </si>
  <si>
    <t>ประมาณ ๕๑.๐๐ ม.  พร้อมติดตั้ง</t>
  </si>
  <si>
    <t xml:space="preserve">ขนาดกว้างประมาณ ๑.๕๐ ม. </t>
  </si>
  <si>
    <t>ยาวประมาณ ๒.๓๐ ม.  พื้นที่</t>
  </si>
  <si>
    <t>ประมาณ ๓.๔๕ ตร.ม.</t>
  </si>
  <si>
    <t xml:space="preserve">๐.๘๐ ม. ยาวประมาณ ๑๕.๕๐ ม. </t>
  </si>
  <si>
    <t>ประมาณ ๕๓.๐๐ ตร.ม. และก่อสร้าง</t>
  </si>
  <si>
    <t>พื้นปูกระเบื้องทางเท้าพร้อมคันหิน</t>
  </si>
  <si>
    <t xml:space="preserve">พื้นที่ประมาณ ๘๕.๐๐ ตร.ม. </t>
  </si>
  <si>
    <t>โดยรอบบริเวณศูนย์ฝึกอาชีพฯ  พื้นที่</t>
  </si>
  <si>
    <t xml:space="preserve">  -๒๗-</t>
  </si>
  <si>
    <t>จ้างเหมาดูแลรักษาไหล่ทาง/</t>
  </si>
  <si>
    <t>เกาะกลางถนนภายในเขต</t>
  </si>
  <si>
    <t>๘๐ ปี เกาะกลางถนนและไหล่ทางถนน</t>
  </si>
  <si>
    <t>พัฒนาระบบการปฏิบัติงาน</t>
  </si>
  <si>
    <t>กล้องโทรทัศน์วงจรปิด CCTV</t>
  </si>
  <si>
    <t xml:space="preserve">จ้างเหมาผู้เชี่ยวชาญในการดูแล </t>
  </si>
  <si>
    <t>ควบคุมสั่งการระบบกล้องโทรทัศน์</t>
  </si>
  <si>
    <t xml:space="preserve">วงจรปิด CCTV </t>
  </si>
  <si>
    <t>นำเข้าข้อมูลในระบบสารสนเทศ</t>
  </si>
  <si>
    <t>ทางภูมิศาสตร์และการสืบค้น</t>
  </si>
  <si>
    <t>ข้อมูลหลายทาง ในงานด้าน</t>
  </si>
  <si>
    <t>การช่างและการผังเมือง</t>
  </si>
  <si>
    <t>จ้างเหมาเอกชนดำเนินการบันทึก</t>
  </si>
  <si>
    <t>ข้อมูลด้านการช่างและการผังเมือง</t>
  </si>
  <si>
    <t>เข้าสู่ระบบสารสนเทศทางภูมิศาสตร์ฯ</t>
  </si>
  <si>
    <t xml:space="preserve">รักษ์ต้นไม้รักษ์สิ่งแวดล้อม   </t>
  </si>
  <si>
    <t>ฝึกอบรมเชิงปฏิบัติการด้านการอนุรักษ์</t>
  </si>
  <si>
    <t>ต้นไม้และสิ่งแวดล้อม เพื่อให้ความรู้</t>
  </si>
  <si>
    <t>และกระตุ้นจิตสำนึกในการดูแลรักษา</t>
  </si>
  <si>
    <t>ทรัพยากรธรรมชาติ  ให้แก่เยาวชน</t>
  </si>
  <si>
    <t>ในเขตเทศบาลนครปากเกร็ด</t>
  </si>
  <si>
    <t>ก่อสร้างที่จอดรถบริเวณที่ดิน</t>
  </si>
  <si>
    <t>ของเทศบาล บริเวณถนน</t>
  </si>
  <si>
    <t>ศรีสมาน</t>
  </si>
  <si>
    <t>จัดซื้อวัสดุก่อสร้างเพื่อก่อสร้างที่จอดรถ</t>
  </si>
  <si>
    <t>ส่วนกลางของเทศบาล</t>
  </si>
  <si>
    <t>ที่ดินของเทศบาล</t>
  </si>
  <si>
    <t>บริเวณถนนศรีสมาน</t>
  </si>
  <si>
    <t xml:space="preserve">  -๒๘-</t>
  </si>
  <si>
    <t xml:space="preserve">  -๒๙-</t>
  </si>
  <si>
    <t xml:space="preserve">  -๓๐-</t>
  </si>
  <si>
    <t xml:space="preserve"> -๓๑-</t>
  </si>
  <si>
    <t xml:space="preserve">  -๓๒-</t>
  </si>
  <si>
    <t xml:space="preserve">    -๓๓-</t>
  </si>
  <si>
    <t xml:space="preserve">   -๓๔-</t>
  </si>
  <si>
    <t xml:space="preserve">  -๓๕-</t>
  </si>
  <si>
    <t xml:space="preserve">  -๓๖-</t>
  </si>
  <si>
    <t xml:space="preserve">  -๓๘-</t>
  </si>
  <si>
    <t>และท่อระบายน้ำหมู่บ้าน</t>
  </si>
  <si>
    <t>สวัสดิการ กทม. ซอย ๑๒</t>
  </si>
  <si>
    <t>ก่อสร้างปรับปรุงถนน ค.ส.ล. พร้อม</t>
  </si>
  <si>
    <t>บ่อพักทั้งสองฝั่ง  ตามแบบรูปและ</t>
  </si>
  <si>
    <t xml:space="preserve">หมู่บ้านสวัสดิการ </t>
  </si>
  <si>
    <t>กทม. ซอย ๑๒</t>
  </si>
  <si>
    <t xml:space="preserve">     </t>
  </si>
  <si>
    <t xml:space="preserve">และท่อระบายน้ำ ซอยเวชคาม </t>
  </si>
  <si>
    <t>แยก ๑๓</t>
  </si>
  <si>
    <t xml:space="preserve">ทั้งสองฝั่ง ก่อสร้างรางวี ค.ส.ล. กว้าง </t>
  </si>
  <si>
    <t xml:space="preserve">ซอยเวชคาม </t>
  </si>
  <si>
    <t>และท่อระบายน้ำ ซอยข้างถนน</t>
  </si>
  <si>
    <t>ซอยข้างถนน</t>
  </si>
  <si>
    <t xml:space="preserve">เลี่ยงเมือง  </t>
  </si>
  <si>
    <t xml:space="preserve">(ซอยจ๊อกแจ๊กเดิม)  </t>
  </si>
  <si>
    <t xml:space="preserve">เลี่ยงเมือง (ซอยจ๊อกแจ๊กเดิม)  </t>
  </si>
  <si>
    <t>และท่อระบายน้ำ  บริเวณซอย</t>
  </si>
  <si>
    <t>ทั้งสองฝั่ง ก่อสร้างคันหิน ค.ส.ล.</t>
  </si>
  <si>
    <t xml:space="preserve">ทั้งสองข้างยาวรวมประมาณ </t>
  </si>
  <si>
    <t>ซอยหมู่บ้าน</t>
  </si>
  <si>
    <t>และท่อระบายน้ำซอยประเสริฐ</t>
  </si>
  <si>
    <t>ซอยประเสริฐ</t>
  </si>
  <si>
    <t>และท่อระบายน้ำ  หมู่บ้าน</t>
  </si>
  <si>
    <t xml:space="preserve">ฝั่งเดียว  ก่อสร้างรางวีค.ส.ล. กว้าง </t>
  </si>
  <si>
    <t xml:space="preserve">รายการของเทศบาล  </t>
  </si>
  <si>
    <t>หมู่บ้านโชคประชา</t>
  </si>
  <si>
    <t>และท่อระบายน้ำ  ซอยชูชาติ</t>
  </si>
  <si>
    <t xml:space="preserve">ซอยเมน </t>
  </si>
  <si>
    <t xml:space="preserve">ทั้งสองฝั่ง  ก่อสร้างรางวี ค.ส.ล. </t>
  </si>
  <si>
    <t xml:space="preserve">และรายการของเทศบาล  </t>
  </si>
  <si>
    <t>ทั้งสองฝั่ง  ก่อสร้างรางวี ค.ส.ล.</t>
  </si>
  <si>
    <t>ก่อสร้างปรับปรุงถนน ค.ส.ล.</t>
  </si>
  <si>
    <t xml:space="preserve"> และท่อระบายน้ำ บริเวณ</t>
  </si>
  <si>
    <t>ซอยหลังโบสถ์ วัดบางพูดนอก</t>
  </si>
  <si>
    <t>ถึงปากทางสวนทิพย์</t>
  </si>
  <si>
    <t xml:space="preserve">ซอยหลังโบสถ์ </t>
  </si>
  <si>
    <t>สวนทิพย์</t>
  </si>
  <si>
    <t xml:space="preserve">ฝั่งเดียว  และวางท่อลอดถนน </t>
  </si>
  <si>
    <t>และท่อระบายน้ำ ซอยพระแม่</t>
  </si>
  <si>
    <t>ซอยพระแม่</t>
  </si>
  <si>
    <t>(ซอยสันติสุข)</t>
  </si>
  <si>
    <t xml:space="preserve">ทั้งสองฝั่ง  ก่อสร้างรางวี ค.ส.ล. กว้าง </t>
  </si>
  <si>
    <t>และท่อระบายน้ำซอยศรีสมาน</t>
  </si>
  <si>
    <t>ซอยศรีสมาน</t>
  </si>
  <si>
    <t xml:space="preserve">แยกทางขึ้นทางด่วน </t>
  </si>
  <si>
    <t xml:space="preserve"> และท่อระบายน้ำ ซอยศรีสมาน</t>
  </si>
  <si>
    <t>ทั้งสองฝั่ง ก่อสร้างรางวี ค.ส.ล. กว้าง</t>
  </si>
  <si>
    <t xml:space="preserve">ก่อสร้างปรับปรุงถนน ค.ส.ล.  </t>
  </si>
  <si>
    <t>และท่อระบายน้ำ ซอยศรีสมาน</t>
  </si>
  <si>
    <t>แยกทางขึ้นทางด่วน ซอยเชื่อม</t>
  </si>
  <si>
    <t>โรคาพาธ)</t>
  </si>
  <si>
    <t>(ซอยพระพิชิต</t>
  </si>
  <si>
    <t>และท่อระบายน้ำ และสะพาน</t>
  </si>
  <si>
    <t xml:space="preserve">ค.ส.ล. บริเวณทางเข้าวัดช่องลม </t>
  </si>
  <si>
    <t>ท่อระบายน้ำ  พร้อมทางเดินเท้าและ</t>
  </si>
  <si>
    <t xml:space="preserve">สะพาน ค.ส.ล. พร้อมทางเดินเท้า  </t>
  </si>
  <si>
    <t xml:space="preserve">ตามแบบรูปและรายการของเทศบาล  </t>
  </si>
  <si>
    <t>ซึ่งมีรายละเอียด ดังนี้</t>
  </si>
  <si>
    <t xml:space="preserve">ทั้งสองฝั่ง  และก่อสร้างทางเดินเท้า </t>
  </si>
  <si>
    <t xml:space="preserve">และก่อสร้างเขื่อนกันดิน ค.ส.ล. </t>
  </si>
  <si>
    <t xml:space="preserve">พร้อมทางเดินเท้า  กว้างประมาณ </t>
  </si>
  <si>
    <t>พร้อมทางเดินเท้า ค.ส.ล. กว้าง</t>
  </si>
  <si>
    <t>ทั้งสองฝั่ง และก่อสร้างเขื่อนกันดิน</t>
  </si>
  <si>
    <t>ค.ส.ล. พร้อมทางเดินเท้า กว้าง</t>
  </si>
  <si>
    <t>ก่อสร้างปรับปรุงถนน และ</t>
  </si>
  <si>
    <t>ท่อระบายน้ำ ซอยเมนทางเข้า</t>
  </si>
  <si>
    <t xml:space="preserve">สวนสมเด็จพระศรีนครินทร์ </t>
  </si>
  <si>
    <t>นนทบุรี</t>
  </si>
  <si>
    <t xml:space="preserve">พระศรีนครินทร์ </t>
  </si>
  <si>
    <t xml:space="preserve">แอสฟัลท์ติกคอนกรีต กว้างประมาณ </t>
  </si>
  <si>
    <t xml:space="preserve">(ไม่รวมพื้นที่บ่อพัก) วางท่อระบายน้ำ </t>
  </si>
  <si>
    <t>ทั้งสองฝั่ง  และทาสีตีเส้นสัญญาณ</t>
  </si>
  <si>
    <t>จราจร  ตามแบบรูปและรายการของ</t>
  </si>
  <si>
    <t xml:space="preserve">ปรับปรุงถนนเลียบคลองส่วย </t>
  </si>
  <si>
    <t>(ช่วงจากถนนศรีสมาน</t>
  </si>
  <si>
    <t xml:space="preserve">ถึงสุดเขตตำบลบ้านใหม่ </t>
  </si>
  <si>
    <t>อำเภอปากเกร็ด)</t>
  </si>
  <si>
    <t>ปรับปรุงถนนลาดยางแอสฟัลท์ติก</t>
  </si>
  <si>
    <t>ทาสีตีเส้นสัญญาณจราจร ตามแบบรูป</t>
  </si>
  <si>
    <t xml:space="preserve">ทั้งสองฝั่ง ก่อสร้างรางวี  ค.ส.ล. </t>
  </si>
  <si>
    <t xml:space="preserve">หมู่บ้านอัมรินทร์ </t>
  </si>
  <si>
    <t>จรรยานิเวศน์ ซอยเมน</t>
  </si>
  <si>
    <t xml:space="preserve">บ่อพักทั้งสองฝั่ง ก่อสร้างรางวี ค.ส.ล. </t>
  </si>
  <si>
    <t>หมู่บ้านจรรยา</t>
  </si>
  <si>
    <t>นิเวศน์ ซอยเมน</t>
  </si>
  <si>
    <r>
      <t>ยุทธศาสตร์การพัฒนาด้านทรัพยากรธรรมชาติและสิ่งแวดล้อม</t>
    </r>
    <r>
      <rPr>
        <b/>
        <i/>
        <sz val="16"/>
        <rFont val="TH SarabunPSK"/>
        <family val="2"/>
      </rPr>
      <t xml:space="preserve">  </t>
    </r>
  </si>
  <si>
    <t>ยุทธศาสตร์ด้านการพัฒนาระบบคมนาคมและสาธารณูปโภค</t>
  </si>
  <si>
    <t>ก่อสร้างเขื่อนกันน้ำเซาะ</t>
  </si>
  <si>
    <t>ริมแม่น้ำเจ้าพระยาบริเวณ</t>
  </si>
  <si>
    <t>บริเวณสะพาน</t>
  </si>
  <si>
    <t>วัดสนามเหนือ</t>
  </si>
  <si>
    <t>ก่อสร้างเขื่อนกันน้ำเซาะริมแม่น้ำ</t>
  </si>
  <si>
    <t xml:space="preserve"> ถึงวัดสนามเหนือ ตามแบบรูปและ</t>
  </si>
  <si>
    <t xml:space="preserve">ดังนี้ </t>
  </si>
  <si>
    <t xml:space="preserve">                 </t>
  </si>
  <si>
    <t>ก่อสร้างปรับปรุงเขื่อนบริเวณ</t>
  </si>
  <si>
    <t>คลองโพธิ์</t>
  </si>
  <si>
    <t>บริเวณคลองโพธิ์</t>
  </si>
  <si>
    <t xml:space="preserve">ก่อสร้างปรับปรุงเขื่อนบริเวณคลองโพธิ์  </t>
  </si>
  <si>
    <t>โดยก่อสร้างเขื่อน ค.ส.ล. แบบตอกเสา</t>
  </si>
  <si>
    <t xml:space="preserve">เข็มใส่แผงกันดินพร้อมทับหลัง ค.ส.ล. </t>
  </si>
  <si>
    <t xml:space="preserve">บริเวณคลองโพธิ์  ความยาวประมาณ </t>
  </si>
  <si>
    <t>คลองบางตลาดบริเวณหมู่บ้าน</t>
  </si>
  <si>
    <t>ประชาชื่น</t>
  </si>
  <si>
    <t>คลองบางตลาด</t>
  </si>
  <si>
    <t>บริเวณหมู่บ้าน</t>
  </si>
  <si>
    <t>ปรับปรุงเขื่อนแบบตอกเข็มพืดเหล็ก</t>
  </si>
  <si>
    <t>รูปตัวยูพร้อมทับหลัง ค.ส.ล. บริเวณ</t>
  </si>
  <si>
    <t xml:space="preserve">คลองบางตลาด ความยาวประมาณ </t>
  </si>
  <si>
    <t>ก่อสร้างเขื่อนกันดินบริเวณ</t>
  </si>
  <si>
    <t>คลองแวะ</t>
  </si>
  <si>
    <t>ก่อสร้างปรับปรุงเขื่อน ค.ส.ล. แบบ</t>
  </si>
  <si>
    <t xml:space="preserve">ตอกเสาเข็มใส่แผงกันดินพร้อมทับหลัง </t>
  </si>
  <si>
    <t>ค.ส.ล. บริเวณคลองแวะ  ความยาว</t>
  </si>
  <si>
    <t>บริเวณคลองแวะ</t>
  </si>
  <si>
    <t>ก่อสร้างรางยูและวางท่อ</t>
  </si>
  <si>
    <t>ระบายน้ำบริเวณหมู่บ้าน</t>
  </si>
  <si>
    <t>ศราวัณวิลล์</t>
  </si>
  <si>
    <t>คลองขี้เหล็กเชื่อม</t>
  </si>
  <si>
    <t xml:space="preserve">ก่อสร้างปรับปรุงบ่อสูบน้ำ  ค.ส.ล. </t>
  </si>
  <si>
    <t>บริเวณคลองขี้เหล็ก</t>
  </si>
  <si>
    <t>เชื่อมคลองบางตลาด</t>
  </si>
  <si>
    <t xml:space="preserve">ก่อสร้างสถานีสูบน้ำ ค.ส.ล. </t>
  </si>
  <si>
    <t>บริเวณปากคลองบางพูด</t>
  </si>
  <si>
    <t>ก่อสร้างสถานีสูบน้ำ ค.ส.ล. ขนาดกว้าง</t>
  </si>
  <si>
    <t xml:space="preserve">แบบจุ่มในน้ำ  สูบน้ำได้ไม่น้อยกว่า </t>
  </si>
  <si>
    <t>พร้อมติดตั้งประตูระบายน้ำ และ</t>
  </si>
  <si>
    <t xml:space="preserve">ก่อสร้างแนวป้องกันน้ำรั่วซึม </t>
  </si>
  <si>
    <t>บริเวณปากคลอง</t>
  </si>
  <si>
    <t xml:space="preserve">    -๔๐-</t>
  </si>
  <si>
    <t>ก่อสร้างระบบรวบรวม</t>
  </si>
  <si>
    <t xml:space="preserve">และบำบัดน้ำเสีย </t>
  </si>
  <si>
    <t>จัดจ้างที่ปรึกษาปรับปรุงแบบก่อสร้าง</t>
  </si>
  <si>
    <t>บริเวณถนนศรีสมาน และดำเนินการ</t>
  </si>
  <si>
    <t>รับฟังความคิดเห็นของประชาชน</t>
  </si>
  <si>
    <t xml:space="preserve">เงินรายได้ </t>
  </si>
  <si>
    <t xml:space="preserve">ก่อสร้างแปลงปลูกพืชน้ำ (บึงประดิษฐ์) </t>
  </si>
  <si>
    <t xml:space="preserve">ด้านทิศตะวันตกขนานแนวคลอง </t>
  </si>
  <si>
    <t>ตามสภาพพื้นที่คลอง และก่อสร้าง</t>
  </si>
  <si>
    <t>บ่อปรับระดับน้ำ เพื่อเติมอากาศ</t>
  </si>
  <si>
    <t xml:space="preserve">ในคลองส่วย ขนาดประมาณ </t>
  </si>
  <si>
    <t>ปรับปรุงสนามเด็กเล่นหมู่บ้าน</t>
  </si>
  <si>
    <t>ไทยสมุทร</t>
  </si>
  <si>
    <t>ก่อสร้างปรับปรุงรั้วเหล็ก ความยาว</t>
  </si>
  <si>
    <t>เด็กเล่น หมู่บ้านไทยสมุทร ตามแบบรูป</t>
  </si>
  <si>
    <t>จ้างออกแบบทัศนียภาพและ</t>
  </si>
  <si>
    <t>ภูมิทัศน์เมืองปากเกร็ด</t>
  </si>
  <si>
    <t>ค่าจ้างที่ปรึกษาออกแบบและจัดทำ</t>
  </si>
  <si>
    <t>รูปแบบการพัฒนาภูมิทัศน์เมือง</t>
  </si>
  <si>
    <t>บริเวณใต้สะพานพระรามสี่  พื้นที่</t>
  </si>
  <si>
    <t>ใต้ทางด่วนถนนแจ้งวัฒนะ และพื้นที่</t>
  </si>
  <si>
    <t>ริมแม่น้ำเจ้าพระยา</t>
  </si>
  <si>
    <t>จ้างออกแบบพิพิธภัณฑ์พื้นบ้าน</t>
  </si>
  <si>
    <t>สวนไม้เมืองนนท์</t>
  </si>
  <si>
    <t>ค่าจ้างที่ปรึกษาออกแบบพิพิธภัณฑ์</t>
  </si>
  <si>
    <t>พื้นบ้านสวนไม้เมืองนนท์ บริเวณ</t>
  </si>
  <si>
    <t xml:space="preserve">สวนสมเด็จพระศรีนครินทร์ นนทบุรี  </t>
  </si>
  <si>
    <t>เพื่อศึกษาข้อมูลสภาพพื้นที่และ</t>
  </si>
  <si>
    <t>ออกแบบพิพิธภัณฑ์พื้นบ้านสวนไม้</t>
  </si>
  <si>
    <t>เมืองนนท์ เพื่อใช้เป็นแบบในการ</t>
  </si>
  <si>
    <t>ก่อสร้าง</t>
  </si>
  <si>
    <t>ยุทธศาสตร์การพัฒนาด้านเศรษฐกิจชุมชน และการท่องเที่ยว</t>
  </si>
  <si>
    <t>ปรับปรุงตลาดเทศบาลนคร</t>
  </si>
  <si>
    <t>ปรับปรุงหลังคาบริเวณตลาดสด</t>
  </si>
  <si>
    <t>เทศบาลและศูนย์อาหาร โดยติดตั้ง</t>
  </si>
  <si>
    <t>หลังคา METAL SHEET  พื้นที่</t>
  </si>
  <si>
    <t>ตลาดสดเทศบาล</t>
  </si>
  <si>
    <t xml:space="preserve">                หากท่านต้องการทราบรายละเอียด  สามารถสอบถามได้ที่กองวิชาการและแผนงาน  เทศบาลนครปากเกร็ด    </t>
  </si>
  <si>
    <t>ยุทธศาสตร์การพัฒนาด้านการสาธารณสุขและสวัสดิการสังคม</t>
  </si>
  <si>
    <t>ข.ค่าที่ดินและสิ่งก่อสร้าง</t>
  </si>
  <si>
    <t>ยุทธศาสตร์การพัฒนาด้านการบริหารและการบริการ</t>
  </si>
  <si>
    <t>ยุทธศาสตร์การพัฒนาด้านการศึกษา ศาสนาและวัฒนธรรม</t>
  </si>
  <si>
    <t>ยุทธศาสตร์การพัฒนาด้านทรัพยากรธรรมชาติและสิ่งแวดล้อม</t>
  </si>
  <si>
    <t>กองการสาธารณสุขและสิ่งแวดล้อม</t>
  </si>
  <si>
    <t>ยุทธศาสตร์การพัฒนาด้านเศรษฐกิจชุมชนและการท่องเที่ยว</t>
  </si>
  <si>
    <t xml:space="preserve">บริเวณวัดช่องลม </t>
  </si>
  <si>
    <t>ทางเข้าสวนสมเด็จ</t>
  </si>
  <si>
    <t>ถนนศรีสมาน ถึง</t>
  </si>
  <si>
    <t>สุดเขตตำบล</t>
  </si>
  <si>
    <t>บ้านใหม่  เลียบ</t>
  </si>
  <si>
    <t>คลองส่วย</t>
  </si>
  <si>
    <t>บางพูด  ต.บางพูด</t>
  </si>
  <si>
    <t xml:space="preserve">งบประมาณ พ.ศ.๒๕๕๕ (ตั้งแต่ ๑ ตุลาคม ๒๕๕๔ - ๓๐ กันยายน ๒๕๕๕)  เป็นจำนวนเงินรวมทั้งสิ้น ๓๖๘,๗๘๐,๐๐๐ บาท   </t>
  </si>
  <si>
    <t xml:space="preserve">บริเวณชั้น ๑  ที่ว่าการอำเภอปากเกร็ด </t>
  </si>
  <si>
    <t>๑๐๐,๐๐๐     บาท</t>
  </si>
  <si>
    <t xml:space="preserve">  ๑๐๐,๐๐๐    บาท</t>
  </si>
  <si>
    <t xml:space="preserve">แยกขวา ๑ </t>
  </si>
  <si>
    <t xml:space="preserve">ซอยเชื่อมแยก ๑ </t>
  </si>
  <si>
    <t>(ระยะที่ ๑)</t>
  </si>
  <si>
    <t>๑. ก่อสร้างปรับปรุงถนน ค.ส.ล. กว้าง</t>
  </si>
  <si>
    <t xml:space="preserve">กว้างประมาณ ๑.๐๐ ม. ทั้งสองฝั่ง </t>
  </si>
  <si>
    <t>(ช่วงที่ ๑)</t>
  </si>
  <si>
    <t xml:space="preserve">ประมาณ ๑.๐๐ ม. ทั้งสองข้าง  </t>
  </si>
  <si>
    <t>ประมาณ ๑.๐๐ ม. ทั้งสองข้าง  ยาว</t>
  </si>
  <si>
    <t>เหนือ (ส่วนที่ ๑)</t>
  </si>
  <si>
    <t xml:space="preserve"> ๑. ก่อสร้างเขื่อนป้องกันน้ำเซาะ </t>
  </si>
  <si>
    <t xml:space="preserve">๑.๐๐ ม.  ระยะทางประมาณ </t>
  </si>
  <si>
    <t>ระบบรวบรวมและบำบัดน้ำเสีย โซน ๑</t>
  </si>
  <si>
    <t>(โซน ๑ ศรีสมาน)</t>
  </si>
  <si>
    <t>ตั้งไว้  ๑,๐๐๐,๐๐๐  บาท</t>
  </si>
  <si>
    <t>๒๐๐,๐๐๐   บาท</t>
  </si>
  <si>
    <t xml:space="preserve">แยกขวา ๒ </t>
  </si>
  <si>
    <t xml:space="preserve">ค.ส.ล. Ø ๑.๐๐ ม. จำนวน ๒ จุด </t>
  </si>
  <si>
    <t>แยกทางขึ้นทางด่วน แยก ๒</t>
  </si>
  <si>
    <t>แยก ๒ ต.บ้านใหม่</t>
  </si>
  <si>
    <t>แยก ๑ แยก ๒  (ซอยพระพิชิต</t>
  </si>
  <si>
    <t xml:space="preserve">แยก ๒  </t>
  </si>
  <si>
    <t>๒. ก่อสร้างปรับปรุงถนน ค.ส.ล. กว้าง</t>
  </si>
  <si>
    <t xml:space="preserve">๑.๐๐ ม. ทั้งสองฝั่ง (ช่วงที่ ๒)  </t>
  </si>
  <si>
    <t xml:space="preserve">ซอย ๑, ซอย ๒, </t>
  </si>
  <si>
    <t>ตั้งไว้   ๒๐,๐๐๐,๐๐๐  บาท</t>
  </si>
  <si>
    <t xml:space="preserve"> ๒. ก่อสร้างคันกั้นน้ำ กว้างประมาณ </t>
  </si>
  <si>
    <t>พร้อมบันไดท่าน้ำ จำนวน ๒ หลัง</t>
  </si>
  <si>
    <t>๒ แถว จำนวน ๒ จุด  ตามแบบรูป</t>
  </si>
  <si>
    <t xml:space="preserve">สูบน้ำไฟฟ้าเดิม  จำนวน ๒ เครื่อง  </t>
  </si>
  <si>
    <t>ประมาณ ๑๒.๐๐ ม. ติดตั้งเครื่องสูบน้ำ</t>
  </si>
  <si>
    <t xml:space="preserve">กว้างประมาณ ๒.๐๐ ม. ยาวประมาณ </t>
  </si>
  <si>
    <t>ประมาณ ๒๒.๐๐ ม. บริเวณสนาม</t>
  </si>
  <si>
    <t>ประมาณ ๓๒๐.๐๐ ตร.ม. วางท่อ</t>
  </si>
  <si>
    <t xml:space="preserve">ประมาณ ๓.๐๐ ม. ยาวประมาณ </t>
  </si>
  <si>
    <t>ตั้งไว้   ๓,๓๑๐,๐๐๐  บาท</t>
  </si>
  <si>
    <t xml:space="preserve">ซอยชูชาติอนุสรณ์ ๓ </t>
  </si>
  <si>
    <t xml:space="preserve">อนุสรณ์ ๓ ซอยเมน </t>
  </si>
  <si>
    <t>ประมาณ  ๑,๓๐๐.๐๐ ตร.ม.  วางท่อ</t>
  </si>
  <si>
    <t>ซอยชูชาติอนุสรณ์ ๓</t>
  </si>
  <si>
    <t xml:space="preserve">อนุสรณ์ ๓ แยกขวา ๑ </t>
  </si>
  <si>
    <t>ประมาณ ๓๒๐.๐๐ ตร.ม.  วางท่อ</t>
  </si>
  <si>
    <t xml:space="preserve">อนุสรณ์ ๓ แยกขวา ๒ </t>
  </si>
  <si>
    <t xml:space="preserve">อนุสรณ์ ๓  แยกซ้าย </t>
  </si>
  <si>
    <t>รางวี กว้างประมาณ ๓.๐๐ ม. ยาว</t>
  </si>
  <si>
    <t xml:space="preserve">มหาการุณย์ ๑๓ </t>
  </si>
  <si>
    <t>มหาการุณย์ ๑๓ (ซอยสันติสุข)</t>
  </si>
  <si>
    <t>แยกทางขึ้นทางด่วน แยก ๓</t>
  </si>
  <si>
    <t>แยก ๓ ต.บ้านใหม่</t>
  </si>
  <si>
    <t>๓. ก่อสร้างปรับปรุงสะพาน ค.ส.ล.</t>
  </si>
  <si>
    <t>อัมรินทร์ ซอย ๑, ซอย ๒, ซอย ๓</t>
  </si>
  <si>
    <t>ซอย ๓ ต.คลองเกลือ</t>
  </si>
  <si>
    <t xml:space="preserve">๓. ก่อสร้างศาลาท่าเรือ พื้นที่ประมาณ </t>
  </si>
  <si>
    <t>จำนวน ๓ หลัง</t>
  </si>
  <si>
    <t xml:space="preserve">พื้นที่ประมาณ  ๓๐๐.๐๐  ตร.ม. </t>
  </si>
  <si>
    <t>๓๑.๐๐ ม.  ตามแบบรูปและรายการ</t>
  </si>
  <si>
    <t>ตั้งไว้   ๓,๐๐๐,๐๐๐  บาท</t>
  </si>
  <si>
    <t>ตั้งไว้  ๓๐๐,๐๐๐  บาท</t>
  </si>
  <si>
    <t xml:space="preserve">๒๔๐ ตารางเมตร  ติดตั้งฝ้าเพดาน </t>
  </si>
  <si>
    <t xml:space="preserve">พื้นที่ประมาณ ๒๔๐ ตารางเมตร </t>
  </si>
  <si>
    <t xml:space="preserve">ประมาณ  ๔.๐๐ ม.  ยาวประมาณ </t>
  </si>
  <si>
    <t xml:space="preserve">ประมาณ  ๔.๐๐ ม. ยาวประมาณ </t>
  </si>
  <si>
    <t>กฤษดานคร ซอย ๑๔</t>
  </si>
  <si>
    <t>หมู่บ้านกฤษดานคร ซอย ๑๔</t>
  </si>
  <si>
    <t xml:space="preserve">ประมาณ ๔.๐๐ ม. ยาวประมาณ </t>
  </si>
  <si>
    <t>ประมาณ ๔๒๐.๐๐ ตร.ม.  วางท่อ</t>
  </si>
  <si>
    <t>๔. ก่อสร้างปรับปรุงถนน ค.ส.ล. กว้าง</t>
  </si>
  <si>
    <t>ประมาณ ๑,๒๔๐.๐๐ ตร.ม. วางท่อ</t>
  </si>
  <si>
    <t>ประมาณ ๑.๐๐ ม. ทั้งสองฝั่ง (ช่วงที่ ๔)</t>
  </si>
  <si>
    <t>เจ้าพระยา บริเวณสะพานพระราม ๔</t>
  </si>
  <si>
    <t xml:space="preserve">พระราม ๔ </t>
  </si>
  <si>
    <t>สะพานพระราม ๔  ถึงวัดสนาม</t>
  </si>
  <si>
    <t xml:space="preserve">๔.๐๐ ม.  ระยะทางประมาณ </t>
  </si>
  <si>
    <t xml:space="preserve"> ๔. ก่อสร้างศาลาอเนกประสงค์</t>
  </si>
  <si>
    <t>๒๔.๐๐ ม.  ตามแบบรูปและรายการ</t>
  </si>
  <si>
    <t>ตั้งไว้  ๑,๔๐๐,๐๐๐  บาท</t>
  </si>
  <si>
    <t xml:space="preserve">๒.๐๐-๓.๐๐ ม. ยาวประมาณ ๔๔.๐๐ ม. </t>
  </si>
  <si>
    <t xml:space="preserve">๒.๐๐ ลบ.ม./วินาที จำนวน ๔ เครื่อง </t>
  </si>
  <si>
    <t xml:space="preserve">ความยาวประมาณ ๓๔๐.๐๐ ม. </t>
  </si>
  <si>
    <t>๒,๕๐๐,๐๐๐  บาท</t>
  </si>
  <si>
    <t>๐.๕๐  ม. ทั้งสองฝั่ง  ตามแบบรูปและ</t>
  </si>
  <si>
    <t>๐.๕๐ ม. ทั้งสองฝั่ง  ตามแบบรูปและ</t>
  </si>
  <si>
    <t xml:space="preserve">ประมาณ ๕.๐๐ ม. ยาวประมาณ </t>
  </si>
  <si>
    <t>๔๕๐.๐๐ ม. หนา ๐.๑๕ ม.  พื้นที่</t>
  </si>
  <si>
    <t>ประมาณ ๒,๒๕๐.๐๐ ตร.ม. วางท่อ</t>
  </si>
  <si>
    <t>๐.๕๐ ม. ทั้งสองฝั่ง ตามแบบรูปและ</t>
  </si>
  <si>
    <t>วิลล่า ซอย ๕</t>
  </si>
  <si>
    <t>โชคประชาวิลล่า ซอย ๕</t>
  </si>
  <si>
    <t>๑๒๐.๐๐ ม.  หนา ๐.๑๕ ม.  พื้นที่</t>
  </si>
  <si>
    <t>๐.๕๐ ม. ฝั่งเดียว  ตามแบบรูปและ</t>
  </si>
  <si>
    <t>กว้าง ๐.๕๐ ม. ทั้งสองฝั่ง  ตามแบบรูป</t>
  </si>
  <si>
    <t xml:space="preserve">กว้าง ๐.๕๐ ม. ทั้งสองฝั่ง  ตามแบบรูป  </t>
  </si>
  <si>
    <t>๑๐๕.๐๐ ม. หนา ๐.๑๕ ม.  พื้นที่</t>
  </si>
  <si>
    <t xml:space="preserve">ประมาณ ๑๓๐.๐๐ ม.  หนา ๐.๑๕ ม.  </t>
  </si>
  <si>
    <t xml:space="preserve">ประมาณ ๓.๕๐ ม. ยาวประมาณ </t>
  </si>
  <si>
    <t>๒๓๐.๐๐ ม.หนา ๐.๑๕ ม.  พื้นที่</t>
  </si>
  <si>
    <t>๓๔๐.๐๐ ม.  หนา ๐.๑๕ ม.  พื้นที่</t>
  </si>
  <si>
    <t>๑๕๕.๐๐ ม.  หนา ๐.๒๐ ม. พื้นที่</t>
  </si>
  <si>
    <t>๕. ก่อสร้างปรับปรุงสะพาน ค.ส.ล.</t>
  </si>
  <si>
    <t xml:space="preserve">ประมาณ ๕๐.๐๐ ม. (ช่วงที่ ๕)  </t>
  </si>
  <si>
    <t>ประมาณ ๑๐,๕๐๐.๐๐  ตร.ม. พร้อม</t>
  </si>
  <si>
    <t>ตั้งไว้   ๑,๕๕๐,๐๐๐  บาท</t>
  </si>
  <si>
    <t xml:space="preserve">ประมาณ ๕.๐๐ ม. ยาวรวมประมาณ </t>
  </si>
  <si>
    <t>กว้าง ๐.๕๐ ม. ทั้งสองฝั่ง ตามแบบรูป</t>
  </si>
  <si>
    <t>๔๕๐.๐๐ ม.</t>
  </si>
  <si>
    <t xml:space="preserve">๑๕๐.๐๐ ตร.ม. พร้อมโป๊ะท่าเทียบเรือ </t>
  </si>
  <si>
    <t>ประมาณ ๕๐.๐๐ ม.  ตามแบบรูปและ</t>
  </si>
  <si>
    <t>ตั้งไว้   ๑,๕๐๐,๐๐๐  บาท</t>
  </si>
  <si>
    <t>ขนาดประมาณ ๒.๐๐ ม.x๓.๕๐ ม.x</t>
  </si>
  <si>
    <t>๓.๕๐ ม. พร้อมปรับปรุง  ติดตั้งเครื่อง</t>
  </si>
  <si>
    <t>๕๐.๐๐ ม. จำนวน ๒๐ จุด ติดตั้ง</t>
  </si>
  <si>
    <t xml:space="preserve">๒.๐๐x๕.๐๐ ม. จำนวน ๑๕ จุด  </t>
  </si>
  <si>
    <t xml:space="preserve">พื้นที่ประมาณ  ๖ – ๑ – ๐๑  ไร่   </t>
  </si>
  <si>
    <t xml:space="preserve">                                                                               ตั้งไว้    ๖๐,๐๐๐      บาท</t>
  </si>
  <si>
    <t>รางวี กว้างประมาณ ๖.๐๐ ม. ยาว</t>
  </si>
  <si>
    <t>วางท่อระบายน้ำ Ø ๐.๖๐ ม. พร้อม</t>
  </si>
  <si>
    <t>๖๒.๐๐ ม. หนา  ๐.๑๕ ม.  พื้นที่</t>
  </si>
  <si>
    <t>ระบายน้ำ  Ø ๐.๖๐ ม. พร้อมบ่อพัก</t>
  </si>
  <si>
    <t>ระบายน้ำ Ø ๐.๖๐ ม. พร้อมบ่อพัก</t>
  </si>
  <si>
    <t xml:space="preserve">ทั้งสองฝั่งยาวประมาณ ๖๖๐.๐๐ ม. </t>
  </si>
  <si>
    <t>อิสลาม  ซอย ๖</t>
  </si>
  <si>
    <t>อิสลาม ซอย ๖</t>
  </si>
  <si>
    <t xml:space="preserve">ประมาณ ๓.๐๐-๖.๐๐ ม. ยาวประมาณ </t>
  </si>
  <si>
    <t>๒๖๐.๐๐ ม. หนา ๐.๑๕ ม.  พื้นที่</t>
  </si>
  <si>
    <t>๖๕.๐๐ ม. หนา ๐.๑๕ ม.  พื้นที่</t>
  </si>
  <si>
    <t>ประมาณ  ๒๖๐.๐๐ ตร.ม.  วางท่อ</t>
  </si>
  <si>
    <t xml:space="preserve">Ø ๐.๖๐ ม. พร้อมบ่อพักทั้งสองฝั่ง </t>
  </si>
  <si>
    <t>ขนาด Ø ๐.๖๐ ม. พร้อมบ่อพัก</t>
  </si>
  <si>
    <t xml:space="preserve">คอนกรีต  กว้างประมาณ ๖.๐๐ ม. </t>
  </si>
  <si>
    <t>ประมาณ ๖.๐๐-๑๐.๐๐ ม. ยาว</t>
  </si>
  <si>
    <t>ตั้งไว้   ๖,๐๐๐,๐๐๐  บาท</t>
  </si>
  <si>
    <t xml:space="preserve">ประมาณ ๔๗๕.๐๐ ม.  หนา ๐.๑๕ ม.  </t>
  </si>
  <si>
    <t>ประมาณ ๕๐๗.๐๐ ตร.ม. วางท่อ</t>
  </si>
  <si>
    <t>ประมาณ ๑,๗๐๐.๐๐ ตร.ม. วางท่อ</t>
  </si>
  <si>
    <t>ยาวประมาณ ๑,๗๕๐.๐๐ ม. พื้นที่</t>
  </si>
  <si>
    <t xml:space="preserve">ประมาณ ๗๑๐.๐๐ ม. หนา ๐.๑๕ ม. </t>
  </si>
  <si>
    <t>ตั้งไว้  ๗๐,๐๐๐,๐๐๐  บาท</t>
  </si>
  <si>
    <t xml:space="preserve">พื้นที่ประมาณ  ๒,๘๕๐.๐๐ ตร.ม. </t>
  </si>
  <si>
    <t>ประมาณ  ๒๔๘.๐๐  ตร.ม.  วางท่อ</t>
  </si>
  <si>
    <t xml:space="preserve"> ๘๐.๐๐ ม.  หนา ๐.๑๕ ม.  พื้นที่</t>
  </si>
  <si>
    <t>ประมาณ  ๕๘๕.๐๐ ตร.ม.  วางท่อ</t>
  </si>
  <si>
    <t>๘๐.๐๐ ม. หนา ๐.๑๕ ม.  พื้นที่</t>
  </si>
  <si>
    <t>๔๘.๐๐ ม. หนา ๐.๑๕ ม.  พื้นที่</t>
  </si>
  <si>
    <t>ประมาณ ๑๖๘.๐๐ ตร.ม. วางท่อ</t>
  </si>
  <si>
    <t xml:space="preserve">ประมาณ ๘.๐๐ ม. ยาวประมาณ </t>
  </si>
  <si>
    <t>๑๘๕.๐๐ ม. หนา ๐.๒๐ ม. พื้นที่</t>
  </si>
  <si>
    <t>ประมาณ ๑,๔๘๐.๐๐ ตร.ม. วางท่อ</t>
  </si>
  <si>
    <t xml:space="preserve">ผิวจราจรกว้างประมาณ ๘.๐๐ ม. </t>
  </si>
  <si>
    <t xml:space="preserve">ยาวประมาณ ๘๐.๐๐ ม. (ช่วงที่ ๓) </t>
  </si>
  <si>
    <t xml:space="preserve">พื้นที่ไม่น้อยกว่า ๕,๒๘๐.๐๐ ตร.ม. </t>
  </si>
  <si>
    <t>๑๓๘.๐๐ ม.  หนา ๐.๑๕ ม. พื้นที่รวม</t>
  </si>
  <si>
    <t xml:space="preserve">พื้นที่ประมาณ ๔,๘๘๐.๐๐ ตร.ม. </t>
  </si>
  <si>
    <t>วางท่อระบายน้ำ Ø ๐.๘๐ ม. พร้อม</t>
  </si>
  <si>
    <t xml:space="preserve">ขนาดประมาณ   ๔.๐๐x๘.๐๐ ม. </t>
  </si>
  <si>
    <t xml:space="preserve">วางท่อระบายน้ำขนาด Ø ๐.๘๐ ม.  </t>
  </si>
  <si>
    <t>ประมาณ ๗๙.๐๐  ม.  ตามแบบรูป</t>
  </si>
  <si>
    <t>๙๐๐.๐๐ ม.  ก่อสร้างทางเดินเท้า</t>
  </si>
  <si>
    <t>๑๖๙.๐๐ ม. หนา ๐.๑๕ ม. พื้นที่</t>
  </si>
  <si>
    <t>ตั้งไว้   ๙๓๐,๐๐๐  บาท</t>
  </si>
  <si>
    <t>พื้นที่ประมาณ ๓๙๐.๐๐ ตร.ม. วางท่อ</t>
  </si>
  <si>
    <t>ตั้งไว้   ๔๙๐,๐๐๐   บาท</t>
  </si>
  <si>
    <t>ตั้งไว้  ๒,๓๙๐,๐๐๐  บาท</t>
  </si>
  <si>
    <t>ประมาณ ๙๒๐.๐๐ ตร.ม. วางท่อ</t>
  </si>
  <si>
    <t>๒๓๙.๐๐ ม.หนา ๐.๑๕ ม.  พื้นที่</t>
  </si>
  <si>
    <t>ประมาณ ๙๕๖.๐๐ ตร.ม. วางท่อ</t>
  </si>
  <si>
    <t xml:space="preserve">๔๙.๐๐ ม. หนา ๐.๒๐ ม. พื้นที่ประมาณ </t>
  </si>
  <si>
    <t xml:space="preserve">๓๙๒.๐๐ ตร.ม. วางท่อระบายน้ำ  </t>
  </si>
  <si>
    <t xml:space="preserve">๖.๐๐ ม. ยาวประมาณ  ๘๙๕.๐๐ ม. </t>
  </si>
  <si>
    <t>ประมาณ ๖๙๐.๐๐ ตร.ม. วางท่อ</t>
  </si>
  <si>
    <t xml:space="preserve">ไม่น้อยกว่า ๒,๙๕๐.๐๐ ตร.ม. </t>
  </si>
  <si>
    <t>(นายวิชัย บรรดาศักดิ์)</t>
  </si>
  <si>
    <t>วิชัย บรรดาศักดิ์</t>
  </si>
</sst>
</file>

<file path=xl/styles.xml><?xml version="1.0" encoding="utf-8"?>
<styleSheet xmlns="http://schemas.openxmlformats.org/spreadsheetml/2006/main">
  <numFmts count="6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  <numFmt numFmtId="166" formatCode="[$-D00041E]0"/>
    <numFmt numFmtId="167" formatCode="[$-D07041E]#,###"/>
    <numFmt numFmtId="168" formatCode="[$-D00041E]#,##0"/>
  </numFmts>
  <fonts count="30">
    <font>
      <sz val="10"/>
      <name val="Arial"/>
    </font>
    <font>
      <sz val="10"/>
      <name val="Arial"/>
      <family val="2"/>
    </font>
    <font>
      <sz val="16"/>
      <name val="Cordia New"/>
      <family val="2"/>
    </font>
    <font>
      <sz val="8"/>
      <name val="Arial"/>
      <family val="2"/>
    </font>
    <font>
      <sz val="14"/>
      <name val="Cordia New"/>
      <family val="2"/>
    </font>
    <font>
      <b/>
      <sz val="16"/>
      <name val="Cordia New"/>
      <family val="2"/>
    </font>
    <font>
      <b/>
      <sz val="18"/>
      <name val="Cordia New"/>
      <family val="2"/>
    </font>
    <font>
      <b/>
      <sz val="14"/>
      <name val="Cordia New"/>
      <family val="2"/>
    </font>
    <font>
      <b/>
      <sz val="20"/>
      <name val="TH SarabunPSK"/>
      <family val="2"/>
    </font>
    <font>
      <sz val="16"/>
      <name val="TH SarabunPSK"/>
      <family val="2"/>
    </font>
    <font>
      <b/>
      <sz val="18"/>
      <name val="TH SarabunPSK"/>
      <family val="2"/>
    </font>
    <font>
      <b/>
      <sz val="16"/>
      <name val="TH SarabunPSK"/>
      <family val="2"/>
    </font>
    <font>
      <b/>
      <u/>
      <sz val="16"/>
      <name val="TH SarabunPSK"/>
      <family val="2"/>
    </font>
    <font>
      <sz val="14"/>
      <name val="TH SarabunPSK"/>
      <family val="2"/>
    </font>
    <font>
      <u/>
      <sz val="14"/>
      <name val="TH SarabunPSK"/>
      <family val="2"/>
    </font>
    <font>
      <b/>
      <sz val="14"/>
      <name val="TH SarabunPSK"/>
      <family val="2"/>
    </font>
    <font>
      <b/>
      <u/>
      <sz val="14"/>
      <name val="TH SarabunPSK"/>
      <family val="2"/>
    </font>
    <font>
      <sz val="18"/>
      <name val="TH SarabunPSK"/>
      <family val="2"/>
    </font>
    <font>
      <sz val="10"/>
      <name val="TH SarabunPSK"/>
      <family val="2"/>
    </font>
    <font>
      <sz val="13"/>
      <name val="TH SarabunPSK"/>
      <family val="2"/>
    </font>
    <font>
      <sz val="16"/>
      <color rgb="FF000000"/>
      <name val="TH SarabunPSK"/>
      <family val="2"/>
    </font>
    <font>
      <sz val="14"/>
      <color rgb="FFFF0000"/>
      <name val="TH SarabunPSK"/>
      <family val="2"/>
    </font>
    <font>
      <sz val="14"/>
      <color rgb="FF000000"/>
      <name val="TH SarabunPSK"/>
      <family val="2"/>
    </font>
    <font>
      <sz val="10"/>
      <name val="Arial"/>
    </font>
    <font>
      <u/>
      <sz val="16"/>
      <name val="TH SarabunPSK"/>
      <family val="2"/>
    </font>
    <font>
      <sz val="13"/>
      <color rgb="FFFF0000"/>
      <name val="TH SarabunPSK"/>
      <family val="2"/>
    </font>
    <font>
      <b/>
      <i/>
      <u/>
      <sz val="16"/>
      <name val="TH SarabunPSK"/>
      <family val="2"/>
    </font>
    <font>
      <b/>
      <i/>
      <sz val="16"/>
      <name val="TH SarabunPSK"/>
      <family val="2"/>
    </font>
    <font>
      <sz val="16"/>
      <name val="TH Charmonman"/>
      <family val="4"/>
    </font>
    <font>
      <b/>
      <sz val="17"/>
      <name val="TH SarabunPSK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23" fillId="0" borderId="0" applyFont="0" applyFill="0" applyBorder="0" applyAlignment="0" applyProtection="0"/>
  </cellStyleXfs>
  <cellXfs count="393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4" fillId="0" borderId="0" xfId="0" applyFont="1"/>
    <xf numFmtId="0" fontId="4" fillId="0" borderId="5" xfId="0" applyFont="1" applyBorder="1"/>
    <xf numFmtId="0" fontId="4" fillId="0" borderId="0" xfId="0" applyFont="1" applyBorder="1"/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/>
    <xf numFmtId="0" fontId="4" fillId="0" borderId="6" xfId="0" applyFont="1" applyBorder="1" applyAlignment="1">
      <alignment horizontal="center" vertical="center"/>
    </xf>
    <xf numFmtId="0" fontId="4" fillId="0" borderId="6" xfId="0" applyFont="1" applyBorder="1"/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vertical="top" wrapText="1"/>
    </xf>
    <xf numFmtId="0" fontId="2" fillId="0" borderId="3" xfId="0" applyFont="1" applyBorder="1"/>
    <xf numFmtId="0" fontId="5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top" wrapText="1"/>
    </xf>
    <xf numFmtId="0" fontId="7" fillId="0" borderId="1" xfId="0" applyFont="1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2" fillId="0" borderId="0" xfId="0" applyFont="1" applyAlignment="1">
      <alignment horizontal="justify"/>
    </xf>
    <xf numFmtId="0" fontId="5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165" fontId="9" fillId="0" borderId="0" xfId="1" applyNumberFormat="1" applyFont="1"/>
    <xf numFmtId="0" fontId="11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1" xfId="0" applyFont="1" applyBorder="1"/>
    <xf numFmtId="0" fontId="13" fillId="0" borderId="1" xfId="0" applyFont="1" applyBorder="1"/>
    <xf numFmtId="0" fontId="13" fillId="0" borderId="0" xfId="0" applyFont="1"/>
    <xf numFmtId="0" fontId="13" fillId="0" borderId="1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left"/>
    </xf>
    <xf numFmtId="0" fontId="13" fillId="0" borderId="6" xfId="0" applyFont="1" applyBorder="1"/>
    <xf numFmtId="0" fontId="9" fillId="0" borderId="6" xfId="0" applyFont="1" applyBorder="1"/>
    <xf numFmtId="0" fontId="13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3" fillId="0" borderId="0" xfId="0" applyFont="1" applyBorder="1" applyAlignment="1">
      <alignment horizontal="left"/>
    </xf>
    <xf numFmtId="0" fontId="13" fillId="0" borderId="0" xfId="0" applyFont="1" applyBorder="1"/>
    <xf numFmtId="0" fontId="9" fillId="0" borderId="0" xfId="0" applyFont="1" applyBorder="1"/>
    <xf numFmtId="0" fontId="13" fillId="0" borderId="3" xfId="0" applyFont="1" applyBorder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20" fillId="0" borderId="0" xfId="0" applyFont="1"/>
    <xf numFmtId="0" fontId="12" fillId="0" borderId="1" xfId="0" applyFont="1" applyBorder="1" applyAlignment="1">
      <alignment horizontal="left" vertical="center"/>
    </xf>
    <xf numFmtId="165" fontId="13" fillId="0" borderId="1" xfId="0" applyNumberFormat="1" applyFont="1" applyBorder="1"/>
    <xf numFmtId="0" fontId="20" fillId="0" borderId="0" xfId="0" applyFont="1" applyAlignment="1">
      <alignment horizontal="justify"/>
    </xf>
    <xf numFmtId="0" fontId="13" fillId="0" borderId="0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2" fillId="0" borderId="0" xfId="0" applyFont="1" applyBorder="1" applyAlignment="1">
      <alignment horizontal="left"/>
    </xf>
    <xf numFmtId="0" fontId="9" fillId="0" borderId="7" xfId="0" applyFont="1" applyBorder="1"/>
    <xf numFmtId="0" fontId="18" fillId="0" borderId="0" xfId="0" applyFont="1"/>
    <xf numFmtId="0" fontId="9" fillId="0" borderId="0" xfId="0" applyFont="1" applyAlignment="1">
      <alignment horizontal="left" indent="4"/>
    </xf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>
      <alignment vertical="top" wrapText="1"/>
    </xf>
    <xf numFmtId="0" fontId="9" fillId="0" borderId="0" xfId="0" applyFont="1" applyAlignment="1">
      <alignment horizontal="left" indent="12"/>
    </xf>
    <xf numFmtId="0" fontId="9" fillId="0" borderId="0" xfId="0" applyFont="1" applyAlignment="1">
      <alignment horizontal="justify"/>
    </xf>
    <xf numFmtId="0" fontId="11" fillId="0" borderId="0" xfId="0" applyFont="1" applyBorder="1" applyAlignment="1">
      <alignment horizontal="center"/>
    </xf>
    <xf numFmtId="0" fontId="15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justify"/>
    </xf>
    <xf numFmtId="0" fontId="22" fillId="0" borderId="0" xfId="0" applyFont="1" applyAlignment="1">
      <alignment horizontal="justify"/>
    </xf>
    <xf numFmtId="0" fontId="22" fillId="0" borderId="0" xfId="0" applyFont="1"/>
    <xf numFmtId="0" fontId="13" fillId="0" borderId="6" xfId="0" applyFont="1" applyBorder="1" applyAlignment="1">
      <alignment horizontal="center"/>
    </xf>
    <xf numFmtId="0" fontId="9" fillId="0" borderId="0" xfId="0" applyFont="1" applyAlignment="1">
      <alignment horizontal="left" indent="3"/>
    </xf>
    <xf numFmtId="0" fontId="11" fillId="0" borderId="0" xfId="0" applyFont="1" applyAlignment="1">
      <alignment horizontal="left" indent="4"/>
    </xf>
    <xf numFmtId="0" fontId="11" fillId="0" borderId="0" xfId="0" applyFont="1" applyAlignment="1">
      <alignment horizontal="left" indent="3"/>
    </xf>
    <xf numFmtId="0" fontId="11" fillId="0" borderId="0" xfId="0" applyFont="1" applyAlignment="1">
      <alignment horizontal="left" indent="5"/>
    </xf>
    <xf numFmtId="0" fontId="15" fillId="0" borderId="6" xfId="0" applyFont="1" applyBorder="1" applyAlignment="1">
      <alignment vertical="top" wrapText="1"/>
    </xf>
    <xf numFmtId="0" fontId="11" fillId="0" borderId="0" xfId="0" applyFont="1" applyAlignment="1">
      <alignment horizontal="left" indent="2"/>
    </xf>
    <xf numFmtId="0" fontId="11" fillId="0" borderId="0" xfId="0" applyFont="1"/>
    <xf numFmtId="0" fontId="15" fillId="0" borderId="0" xfId="0" applyFont="1" applyBorder="1" applyAlignment="1">
      <alignment vertical="top" wrapText="1"/>
    </xf>
    <xf numFmtId="0" fontId="10" fillId="0" borderId="0" xfId="0" applyFont="1" applyBorder="1" applyAlignment="1">
      <alignment horizontal="left" vertical="center"/>
    </xf>
    <xf numFmtId="166" fontId="0" fillId="0" borderId="0" xfId="0" applyNumberFormat="1"/>
    <xf numFmtId="3" fontId="2" fillId="0" borderId="0" xfId="0" applyNumberFormat="1" applyFont="1"/>
    <xf numFmtId="0" fontId="13" fillId="0" borderId="0" xfId="0" applyFont="1" applyBorder="1" applyAlignment="1"/>
    <xf numFmtId="0" fontId="15" fillId="0" borderId="6" xfId="0" applyFont="1" applyBorder="1" applyAlignment="1">
      <alignment horizontal="center"/>
    </xf>
    <xf numFmtId="0" fontId="15" fillId="0" borderId="6" xfId="0" applyFont="1" applyBorder="1" applyAlignment="1">
      <alignment horizontal="left"/>
    </xf>
    <xf numFmtId="166" fontId="13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 vertical="justify"/>
    </xf>
    <xf numFmtId="0" fontId="18" fillId="0" borderId="0" xfId="0" applyFont="1"/>
    <xf numFmtId="0" fontId="9" fillId="0" borderId="0" xfId="0" applyFont="1"/>
    <xf numFmtId="0" fontId="0" fillId="0" borderId="0" xfId="0"/>
    <xf numFmtId="167" fontId="5" fillId="0" borderId="2" xfId="0" applyNumberFormat="1" applyFont="1" applyBorder="1" applyAlignment="1">
      <alignment horizontal="center"/>
    </xf>
    <xf numFmtId="167" fontId="5" fillId="0" borderId="3" xfId="0" applyNumberFormat="1" applyFont="1" applyBorder="1" applyAlignment="1">
      <alignment horizontal="center"/>
    </xf>
    <xf numFmtId="167" fontId="4" fillId="0" borderId="1" xfId="1" applyNumberFormat="1" applyFont="1" applyBorder="1" applyAlignment="1">
      <alignment horizontal="right"/>
    </xf>
    <xf numFmtId="167" fontId="4" fillId="0" borderId="1" xfId="2" applyNumberFormat="1" applyFont="1" applyBorder="1" applyAlignment="1">
      <alignment horizontal="right"/>
    </xf>
    <xf numFmtId="167" fontId="4" fillId="0" borderId="1" xfId="1" applyNumberFormat="1" applyFont="1" applyBorder="1" applyAlignment="1">
      <alignment horizontal="center"/>
    </xf>
    <xf numFmtId="167" fontId="4" fillId="0" borderId="1" xfId="1" applyNumberFormat="1" applyFont="1" applyBorder="1" applyAlignment="1">
      <alignment horizontal="right" vertical="center"/>
    </xf>
    <xf numFmtId="167" fontId="4" fillId="0" borderId="3" xfId="1" applyNumberFormat="1" applyFont="1" applyBorder="1" applyAlignment="1">
      <alignment horizontal="right" vertical="center"/>
    </xf>
    <xf numFmtId="167" fontId="4" fillId="0" borderId="6" xfId="1" applyNumberFormat="1" applyFont="1" applyBorder="1" applyAlignment="1">
      <alignment horizontal="right" vertical="center"/>
    </xf>
    <xf numFmtId="167" fontId="2" fillId="0" borderId="1" xfId="0" applyNumberFormat="1" applyFont="1" applyBorder="1"/>
    <xf numFmtId="167" fontId="4" fillId="0" borderId="1" xfId="0" applyNumberFormat="1" applyFont="1" applyBorder="1" applyAlignment="1">
      <alignment horizontal="right" vertical="top" wrapText="1"/>
    </xf>
    <xf numFmtId="167" fontId="2" fillId="0" borderId="3" xfId="0" applyNumberFormat="1" applyFont="1" applyBorder="1"/>
    <xf numFmtId="167" fontId="4" fillId="0" borderId="0" xfId="0" applyNumberFormat="1" applyFont="1" applyBorder="1" applyAlignment="1">
      <alignment horizontal="right" vertical="top" wrapText="1"/>
    </xf>
    <xf numFmtId="167" fontId="4" fillId="0" borderId="3" xfId="0" applyNumberFormat="1" applyFont="1" applyBorder="1" applyAlignment="1">
      <alignment horizontal="right" vertical="top" wrapText="1"/>
    </xf>
    <xf numFmtId="167" fontId="4" fillId="0" borderId="6" xfId="0" applyNumberFormat="1" applyFont="1" applyBorder="1" applyAlignment="1">
      <alignment horizontal="right" vertical="top" wrapText="1"/>
    </xf>
    <xf numFmtId="167" fontId="4" fillId="0" borderId="1" xfId="0" quotePrefix="1" applyNumberFormat="1" applyFont="1" applyBorder="1" applyAlignment="1">
      <alignment horizontal="right" vertical="top" wrapText="1"/>
    </xf>
    <xf numFmtId="167" fontId="4" fillId="0" borderId="1" xfId="0" applyNumberFormat="1" applyFont="1" applyFill="1" applyBorder="1" applyAlignment="1">
      <alignment horizontal="right" vertical="top" wrapText="1"/>
    </xf>
    <xf numFmtId="167" fontId="4" fillId="0" borderId="1" xfId="1" applyNumberFormat="1" applyFont="1" applyBorder="1"/>
    <xf numFmtId="167" fontId="5" fillId="0" borderId="1" xfId="0" applyNumberFormat="1" applyFont="1" applyBorder="1"/>
    <xf numFmtId="167" fontId="2" fillId="0" borderId="0" xfId="0" applyNumberFormat="1" applyFont="1" applyBorder="1"/>
    <xf numFmtId="167" fontId="0" fillId="0" borderId="0" xfId="0" applyNumberFormat="1"/>
    <xf numFmtId="167" fontId="2" fillId="0" borderId="0" xfId="0" applyNumberFormat="1" applyFont="1"/>
    <xf numFmtId="167" fontId="10" fillId="0" borderId="0" xfId="0" applyNumberFormat="1" applyFont="1" applyAlignment="1">
      <alignment horizontal="right"/>
    </xf>
    <xf numFmtId="167" fontId="11" fillId="0" borderId="0" xfId="0" applyNumberFormat="1" applyFont="1" applyAlignment="1">
      <alignment horizontal="right"/>
    </xf>
    <xf numFmtId="167" fontId="11" fillId="0" borderId="3" xfId="0" applyNumberFormat="1" applyFont="1" applyBorder="1" applyAlignment="1">
      <alignment horizontal="right"/>
    </xf>
    <xf numFmtId="167" fontId="13" fillId="0" borderId="1" xfId="1" applyNumberFormat="1" applyFont="1" applyBorder="1" applyAlignment="1">
      <alignment horizontal="right" vertical="center"/>
    </xf>
    <xf numFmtId="167" fontId="13" fillId="0" borderId="6" xfId="1" applyNumberFormat="1" applyFont="1" applyBorder="1" applyAlignment="1">
      <alignment horizontal="right" vertical="center"/>
    </xf>
    <xf numFmtId="167" fontId="13" fillId="0" borderId="0" xfId="0" applyNumberFormat="1" applyFont="1" applyBorder="1" applyAlignment="1">
      <alignment horizontal="right" vertical="center"/>
    </xf>
    <xf numFmtId="167" fontId="13" fillId="0" borderId="3" xfId="1" applyNumberFormat="1" applyFont="1" applyBorder="1" applyAlignment="1">
      <alignment horizontal="right" vertical="center"/>
    </xf>
    <xf numFmtId="167" fontId="13" fillId="0" borderId="0" xfId="1" applyNumberFormat="1" applyFont="1" applyBorder="1" applyAlignment="1">
      <alignment horizontal="right" vertical="center"/>
    </xf>
    <xf numFmtId="167" fontId="9" fillId="0" borderId="0" xfId="0" applyNumberFormat="1" applyFont="1" applyBorder="1" applyAlignment="1">
      <alignment horizontal="right"/>
    </xf>
    <xf numFmtId="167" fontId="13" fillId="0" borderId="7" xfId="0" applyNumberFormat="1" applyFont="1" applyBorder="1" applyAlignment="1">
      <alignment horizontal="right" vertical="center"/>
    </xf>
    <xf numFmtId="167" fontId="11" fillId="0" borderId="2" xfId="0" applyNumberFormat="1" applyFont="1" applyBorder="1" applyAlignment="1">
      <alignment horizontal="center"/>
    </xf>
    <xf numFmtId="167" fontId="11" fillId="0" borderId="0" xfId="0" applyNumberFormat="1" applyFont="1" applyBorder="1" applyAlignment="1">
      <alignment horizontal="right"/>
    </xf>
    <xf numFmtId="167" fontId="8" fillId="0" borderId="6" xfId="0" applyNumberFormat="1" applyFont="1" applyBorder="1" applyAlignment="1">
      <alignment horizontal="right"/>
    </xf>
    <xf numFmtId="167" fontId="13" fillId="0" borderId="0" xfId="0" applyNumberFormat="1" applyFont="1" applyBorder="1" applyAlignment="1">
      <alignment horizontal="right"/>
    </xf>
    <xf numFmtId="167" fontId="13" fillId="0" borderId="0" xfId="0" applyNumberFormat="1" applyFont="1" applyBorder="1" applyAlignment="1">
      <alignment horizontal="right" vertical="top" wrapText="1"/>
    </xf>
    <xf numFmtId="167" fontId="11" fillId="0" borderId="1" xfId="1" applyNumberFormat="1" applyFont="1" applyBorder="1" applyAlignment="1">
      <alignment horizontal="right" vertical="center"/>
    </xf>
    <xf numFmtId="167" fontId="13" fillId="0" borderId="6" xfId="1" applyNumberFormat="1" applyFont="1" applyBorder="1" applyAlignment="1">
      <alignment horizontal="right"/>
    </xf>
    <xf numFmtId="167" fontId="9" fillId="0" borderId="6" xfId="0" applyNumberFormat="1" applyFont="1" applyBorder="1" applyAlignment="1">
      <alignment horizontal="right"/>
    </xf>
    <xf numFmtId="167" fontId="13" fillId="0" borderId="0" xfId="1" applyNumberFormat="1" applyFont="1" applyBorder="1" applyAlignment="1">
      <alignment horizontal="right"/>
    </xf>
    <xf numFmtId="167" fontId="9" fillId="0" borderId="0" xfId="0" applyNumberFormat="1" applyFont="1" applyAlignment="1">
      <alignment horizontal="right"/>
    </xf>
    <xf numFmtId="0" fontId="13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/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3" fillId="0" borderId="0" xfId="0" applyFont="1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/>
    <xf numFmtId="167" fontId="13" fillId="0" borderId="8" xfId="1" applyNumberFormat="1" applyFont="1" applyBorder="1" applyAlignment="1">
      <alignment horizontal="right" vertical="center"/>
    </xf>
    <xf numFmtId="0" fontId="9" fillId="0" borderId="8" xfId="0" applyFont="1" applyBorder="1"/>
    <xf numFmtId="0" fontId="13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13" fillId="0" borderId="9" xfId="0" applyFont="1" applyBorder="1"/>
    <xf numFmtId="167" fontId="13" fillId="0" borderId="9" xfId="1" applyNumberFormat="1" applyFont="1" applyBorder="1" applyAlignment="1">
      <alignment horizontal="right" vertical="center"/>
    </xf>
    <xf numFmtId="0" fontId="9" fillId="0" borderId="9" xfId="0" applyFont="1" applyBorder="1"/>
    <xf numFmtId="0" fontId="13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13" fillId="0" borderId="10" xfId="0" applyFont="1" applyBorder="1"/>
    <xf numFmtId="167" fontId="13" fillId="0" borderId="10" xfId="1" applyNumberFormat="1" applyFont="1" applyBorder="1" applyAlignment="1">
      <alignment horizontal="right" vertical="center"/>
    </xf>
    <xf numFmtId="0" fontId="9" fillId="0" borderId="10" xfId="0" applyFont="1" applyBorder="1"/>
    <xf numFmtId="0" fontId="13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center"/>
    </xf>
    <xf numFmtId="0" fontId="10" fillId="0" borderId="8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12" fillId="0" borderId="11" xfId="0" applyFont="1" applyBorder="1" applyAlignment="1">
      <alignment horizontal="left"/>
    </xf>
    <xf numFmtId="167" fontId="11" fillId="0" borderId="9" xfId="0" applyNumberFormat="1" applyFont="1" applyBorder="1" applyAlignment="1">
      <alignment horizontal="right"/>
    </xf>
    <xf numFmtId="166" fontId="9" fillId="0" borderId="9" xfId="0" applyNumberFormat="1" applyFont="1" applyBorder="1" applyAlignment="1">
      <alignment horizontal="center"/>
    </xf>
    <xf numFmtId="0" fontId="13" fillId="0" borderId="9" xfId="0" applyFont="1" applyBorder="1" applyAlignment="1">
      <alignment horizontal="left"/>
    </xf>
    <xf numFmtId="167" fontId="13" fillId="0" borderId="9" xfId="1" applyNumberFormat="1" applyFont="1" applyBorder="1" applyAlignment="1">
      <alignment horizontal="right"/>
    </xf>
    <xf numFmtId="0" fontId="9" fillId="0" borderId="9" xfId="0" applyFont="1" applyBorder="1" applyAlignment="1">
      <alignment horizontal="center"/>
    </xf>
    <xf numFmtId="0" fontId="14" fillId="0" borderId="9" xfId="0" applyFont="1" applyBorder="1" applyAlignment="1">
      <alignment horizontal="left"/>
    </xf>
    <xf numFmtId="0" fontId="9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1" fillId="0" borderId="10" xfId="0" applyFont="1" applyBorder="1" applyAlignment="1">
      <alignment horizontal="center"/>
    </xf>
    <xf numFmtId="167" fontId="13" fillId="0" borderId="10" xfId="1" applyNumberFormat="1" applyFont="1" applyBorder="1" applyAlignment="1">
      <alignment horizontal="right"/>
    </xf>
    <xf numFmtId="166" fontId="9" fillId="0" borderId="8" xfId="0" applyNumberFormat="1" applyFont="1" applyBorder="1" applyAlignment="1">
      <alignment horizontal="center"/>
    </xf>
    <xf numFmtId="0" fontId="13" fillId="0" borderId="8" xfId="0" applyFont="1" applyBorder="1" applyAlignment="1">
      <alignment horizontal="left"/>
    </xf>
    <xf numFmtId="167" fontId="13" fillId="0" borderId="8" xfId="1" applyNumberFormat="1" applyFont="1" applyBorder="1" applyAlignment="1">
      <alignment horizontal="right"/>
    </xf>
    <xf numFmtId="166" fontId="13" fillId="0" borderId="8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166" fontId="13" fillId="0" borderId="8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/>
    </xf>
    <xf numFmtId="0" fontId="13" fillId="0" borderId="9" xfId="0" applyFont="1" applyBorder="1" applyAlignment="1">
      <alignment horizontal="left" vertical="center"/>
    </xf>
    <xf numFmtId="0" fontId="13" fillId="0" borderId="11" xfId="0" applyFont="1" applyBorder="1"/>
    <xf numFmtId="0" fontId="14" fillId="0" borderId="10" xfId="0" applyFont="1" applyBorder="1" applyAlignment="1">
      <alignment horizontal="left" vertical="center"/>
    </xf>
    <xf numFmtId="166" fontId="9" fillId="0" borderId="13" xfId="0" applyNumberFormat="1" applyFont="1" applyBorder="1" applyAlignment="1">
      <alignment horizontal="center"/>
    </xf>
    <xf numFmtId="0" fontId="13" fillId="0" borderId="13" xfId="0" applyFont="1" applyBorder="1" applyAlignment="1">
      <alignment horizontal="left"/>
    </xf>
    <xf numFmtId="0" fontId="13" fillId="0" borderId="13" xfId="0" applyFont="1" applyBorder="1"/>
    <xf numFmtId="167" fontId="13" fillId="0" borderId="13" xfId="1" applyNumberFormat="1" applyFont="1" applyBorder="1" applyAlignment="1">
      <alignment horizontal="right"/>
    </xf>
    <xf numFmtId="166" fontId="13" fillId="0" borderId="1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/>
    </xf>
    <xf numFmtId="167" fontId="13" fillId="0" borderId="13" xfId="1" applyNumberFormat="1" applyFont="1" applyBorder="1" applyAlignment="1">
      <alignment horizontal="right" vertical="center"/>
    </xf>
    <xf numFmtId="167" fontId="9" fillId="0" borderId="9" xfId="0" applyNumberFormat="1" applyFont="1" applyBorder="1" applyAlignment="1">
      <alignment horizontal="right"/>
    </xf>
    <xf numFmtId="0" fontId="15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5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167" fontId="11" fillId="0" borderId="8" xfId="0" applyNumberFormat="1" applyFont="1" applyBorder="1" applyAlignment="1">
      <alignment horizontal="right"/>
    </xf>
    <xf numFmtId="0" fontId="15" fillId="0" borderId="9" xfId="0" applyFont="1" applyBorder="1" applyAlignment="1">
      <alignment horizontal="center"/>
    </xf>
    <xf numFmtId="167" fontId="15" fillId="0" borderId="9" xfId="0" applyNumberFormat="1" applyFont="1" applyBorder="1" applyAlignment="1">
      <alignment horizontal="right"/>
    </xf>
    <xf numFmtId="0" fontId="9" fillId="0" borderId="11" xfId="0" applyFont="1" applyBorder="1"/>
    <xf numFmtId="167" fontId="9" fillId="0" borderId="10" xfId="0" applyNumberFormat="1" applyFont="1" applyBorder="1" applyAlignment="1">
      <alignment horizontal="right"/>
    </xf>
    <xf numFmtId="167" fontId="13" fillId="0" borderId="9" xfId="0" applyNumberFormat="1" applyFont="1" applyBorder="1" applyAlignment="1">
      <alignment horizontal="right"/>
    </xf>
    <xf numFmtId="0" fontId="13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13" fillId="0" borderId="11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165" fontId="13" fillId="0" borderId="2" xfId="0" applyNumberFormat="1" applyFont="1" applyBorder="1"/>
    <xf numFmtId="166" fontId="13" fillId="0" borderId="9" xfId="0" applyNumberFormat="1" applyFont="1" applyBorder="1" applyAlignment="1">
      <alignment horizontal="center"/>
    </xf>
    <xf numFmtId="0" fontId="9" fillId="0" borderId="8" xfId="0" applyFont="1" applyBorder="1" applyAlignment="1">
      <alignment horizontal="left"/>
    </xf>
    <xf numFmtId="167" fontId="11" fillId="0" borderId="10" xfId="0" applyNumberFormat="1" applyFont="1" applyBorder="1" applyAlignment="1">
      <alignment horizontal="right"/>
    </xf>
    <xf numFmtId="166" fontId="13" fillId="0" borderId="9" xfId="0" applyNumberFormat="1" applyFont="1" applyBorder="1" applyAlignment="1">
      <alignment horizontal="center" vertical="center"/>
    </xf>
    <xf numFmtId="0" fontId="17" fillId="0" borderId="8" xfId="0" applyFont="1" applyBorder="1"/>
    <xf numFmtId="167" fontId="10" fillId="0" borderId="8" xfId="0" applyNumberFormat="1" applyFont="1" applyBorder="1" applyAlignment="1">
      <alignment horizontal="right"/>
    </xf>
    <xf numFmtId="0" fontId="11" fillId="0" borderId="11" xfId="0" applyFont="1" applyBorder="1" applyAlignment="1">
      <alignment horizontal="center"/>
    </xf>
    <xf numFmtId="0" fontId="15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left"/>
    </xf>
    <xf numFmtId="0" fontId="13" fillId="0" borderId="17" xfId="0" applyFont="1" applyBorder="1" applyAlignment="1">
      <alignment horizontal="left"/>
    </xf>
    <xf numFmtId="167" fontId="13" fillId="0" borderId="16" xfId="1" applyNumberFormat="1" applyFont="1" applyBorder="1" applyAlignment="1">
      <alignment horizontal="right" vertical="center"/>
    </xf>
    <xf numFmtId="0" fontId="9" fillId="0" borderId="16" xfId="0" applyFont="1" applyBorder="1"/>
    <xf numFmtId="0" fontId="24" fillId="0" borderId="11" xfId="0" applyFont="1" applyBorder="1" applyAlignment="1">
      <alignment horizontal="left"/>
    </xf>
    <xf numFmtId="167" fontId="9" fillId="0" borderId="9" xfId="0" applyNumberFormat="1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24" fillId="0" borderId="15" xfId="0" applyFont="1" applyBorder="1" applyAlignment="1">
      <alignment horizontal="left"/>
    </xf>
    <xf numFmtId="167" fontId="9" fillId="0" borderId="10" xfId="0" applyNumberFormat="1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24" fillId="0" borderId="17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167" fontId="9" fillId="0" borderId="16" xfId="0" applyNumberFormat="1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14" fillId="0" borderId="0" xfId="0" applyFont="1" applyBorder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left" vertical="center"/>
    </xf>
    <xf numFmtId="167" fontId="9" fillId="0" borderId="16" xfId="0" applyNumberFormat="1" applyFont="1" applyBorder="1" applyAlignment="1">
      <alignment horizontal="right"/>
    </xf>
    <xf numFmtId="0" fontId="14" fillId="0" borderId="16" xfId="0" applyFont="1" applyBorder="1" applyAlignment="1">
      <alignment horizontal="left" vertical="center"/>
    </xf>
    <xf numFmtId="0" fontId="13" fillId="0" borderId="12" xfId="0" applyFont="1" applyBorder="1"/>
    <xf numFmtId="0" fontId="12" fillId="0" borderId="10" xfId="0" applyFont="1" applyBorder="1" applyAlignment="1">
      <alignment horizontal="left"/>
    </xf>
    <xf numFmtId="167" fontId="13" fillId="0" borderId="8" xfId="0" applyNumberFormat="1" applyFont="1" applyBorder="1" applyAlignment="1">
      <alignment horizontal="right"/>
    </xf>
    <xf numFmtId="167" fontId="13" fillId="0" borderId="10" xfId="0" applyNumberFormat="1" applyFont="1" applyBorder="1" applyAlignment="1">
      <alignment horizontal="right"/>
    </xf>
    <xf numFmtId="0" fontId="10" fillId="0" borderId="8" xfId="0" applyFont="1" applyBorder="1" applyAlignment="1">
      <alignment horizontal="center"/>
    </xf>
    <xf numFmtId="0" fontId="12" fillId="0" borderId="15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167" fontId="21" fillId="0" borderId="9" xfId="1" applyNumberFormat="1" applyFont="1" applyBorder="1" applyAlignment="1">
      <alignment horizontal="right" vertical="center"/>
    </xf>
    <xf numFmtId="0" fontId="13" fillId="0" borderId="16" xfId="0" applyFont="1" applyBorder="1"/>
    <xf numFmtId="0" fontId="13" fillId="0" borderId="15" xfId="0" applyFont="1" applyBorder="1"/>
    <xf numFmtId="0" fontId="13" fillId="0" borderId="8" xfId="0" applyFont="1" applyBorder="1" applyAlignment="1">
      <alignment vertical="top" wrapText="1"/>
    </xf>
    <xf numFmtId="167" fontId="13" fillId="0" borderId="8" xfId="0" applyNumberFormat="1" applyFont="1" applyBorder="1" applyAlignment="1">
      <alignment horizontal="right" vertical="top" wrapText="1"/>
    </xf>
    <xf numFmtId="0" fontId="13" fillId="0" borderId="9" xfId="0" applyFont="1" applyBorder="1" applyAlignment="1">
      <alignment vertical="top" wrapText="1"/>
    </xf>
    <xf numFmtId="167" fontId="13" fillId="0" borderId="9" xfId="0" applyNumberFormat="1" applyFont="1" applyBorder="1" applyAlignment="1">
      <alignment horizontal="right" vertical="top" wrapText="1"/>
    </xf>
    <xf numFmtId="0" fontId="13" fillId="0" borderId="10" xfId="0" applyFont="1" applyBorder="1" applyAlignment="1">
      <alignment vertical="top" wrapText="1"/>
    </xf>
    <xf numFmtId="167" fontId="13" fillId="0" borderId="10" xfId="0" applyNumberFormat="1" applyFont="1" applyBorder="1" applyAlignment="1">
      <alignment horizontal="right" vertical="top" wrapText="1"/>
    </xf>
    <xf numFmtId="0" fontId="13" fillId="0" borderId="16" xfId="0" applyFont="1" applyBorder="1" applyAlignment="1">
      <alignment horizontal="center"/>
    </xf>
    <xf numFmtId="0" fontId="13" fillId="0" borderId="16" xfId="0" applyFont="1" applyBorder="1" applyAlignment="1">
      <alignment vertical="top" wrapText="1"/>
    </xf>
    <xf numFmtId="167" fontId="13" fillId="0" borderId="16" xfId="0" applyNumberFormat="1" applyFont="1" applyBorder="1" applyAlignment="1">
      <alignment horizontal="right" vertical="top" wrapText="1"/>
    </xf>
    <xf numFmtId="3" fontId="13" fillId="0" borderId="9" xfId="0" applyNumberFormat="1" applyFont="1" applyBorder="1"/>
    <xf numFmtId="0" fontId="13" fillId="0" borderId="14" xfId="0" applyFont="1" applyBorder="1"/>
    <xf numFmtId="166" fontId="13" fillId="0" borderId="10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3" fillId="0" borderId="0" xfId="0" applyFont="1" applyBorder="1" applyAlignment="1">
      <alignment horizontal="center" vertical="center"/>
    </xf>
    <xf numFmtId="167" fontId="9" fillId="0" borderId="13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left"/>
    </xf>
    <xf numFmtId="167" fontId="11" fillId="0" borderId="16" xfId="0" applyNumberFormat="1" applyFont="1" applyBorder="1" applyAlignment="1">
      <alignment horizontal="right"/>
    </xf>
    <xf numFmtId="0" fontId="11" fillId="0" borderId="0" xfId="0" applyFont="1" applyBorder="1" applyAlignment="1">
      <alignment horizontal="left"/>
    </xf>
    <xf numFmtId="0" fontId="1" fillId="0" borderId="0" xfId="0" applyFont="1"/>
    <xf numFmtId="0" fontId="9" fillId="0" borderId="15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13" fillId="0" borderId="13" xfId="0" applyFont="1" applyBorder="1" applyAlignment="1">
      <alignment horizontal="center" vertical="center"/>
    </xf>
    <xf numFmtId="0" fontId="9" fillId="0" borderId="13" xfId="0" applyFont="1" applyBorder="1"/>
    <xf numFmtId="167" fontId="9" fillId="0" borderId="8" xfId="0" applyNumberFormat="1" applyFont="1" applyBorder="1" applyAlignment="1">
      <alignment horizontal="right"/>
    </xf>
    <xf numFmtId="0" fontId="16" fillId="0" borderId="10" xfId="0" applyFont="1" applyBorder="1" applyAlignment="1">
      <alignment horizontal="left" vertical="center"/>
    </xf>
    <xf numFmtId="167" fontId="13" fillId="0" borderId="9" xfId="1" applyNumberFormat="1" applyFont="1" applyBorder="1" applyAlignment="1">
      <alignment horizontal="left" vertical="center"/>
    </xf>
    <xf numFmtId="166" fontId="9" fillId="0" borderId="10" xfId="0" applyNumberFormat="1" applyFont="1" applyBorder="1" applyAlignment="1">
      <alignment horizontal="center"/>
    </xf>
    <xf numFmtId="167" fontId="13" fillId="0" borderId="10" xfId="1" applyNumberFormat="1" applyFont="1" applyBorder="1" applyAlignment="1">
      <alignment horizontal="left"/>
    </xf>
    <xf numFmtId="0" fontId="13" fillId="0" borderId="18" xfId="0" applyFont="1" applyBorder="1"/>
    <xf numFmtId="0" fontId="13" fillId="0" borderId="18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0" fontId="13" fillId="0" borderId="20" xfId="0" applyFont="1" applyBorder="1" applyAlignment="1">
      <alignment horizontal="left"/>
    </xf>
    <xf numFmtId="3" fontId="9" fillId="0" borderId="0" xfId="0" applyNumberFormat="1" applyFont="1" applyAlignment="1">
      <alignment horizontal="justify"/>
    </xf>
    <xf numFmtId="0" fontId="13" fillId="0" borderId="21" xfId="0" applyFont="1" applyBorder="1"/>
    <xf numFmtId="0" fontId="13" fillId="0" borderId="13" xfId="0" applyNumberFormat="1" applyFont="1" applyBorder="1"/>
    <xf numFmtId="0" fontId="13" fillId="0" borderId="9" xfId="0" applyNumberFormat="1" applyFont="1" applyBorder="1"/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167" fontId="10" fillId="0" borderId="8" xfId="1" applyNumberFormat="1" applyFont="1" applyBorder="1" applyAlignment="1">
      <alignment horizontal="right" vertical="center"/>
    </xf>
    <xf numFmtId="0" fontId="12" fillId="0" borderId="9" xfId="0" applyFont="1" applyBorder="1" applyAlignment="1">
      <alignment horizontal="left" vertical="center"/>
    </xf>
    <xf numFmtId="167" fontId="11" fillId="0" borderId="9" xfId="1" applyNumberFormat="1" applyFont="1" applyBorder="1" applyAlignment="1">
      <alignment horizontal="right" vertical="center"/>
    </xf>
    <xf numFmtId="166" fontId="15" fillId="0" borderId="9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left" vertical="center"/>
    </xf>
    <xf numFmtId="0" fontId="21" fillId="0" borderId="9" xfId="0" applyFont="1" applyBorder="1"/>
    <xf numFmtId="0" fontId="21" fillId="0" borderId="11" xfId="0" applyFont="1" applyBorder="1"/>
    <xf numFmtId="167" fontId="21" fillId="0" borderId="9" xfId="0" applyNumberFormat="1" applyFont="1" applyBorder="1" applyAlignment="1">
      <alignment horizontal="left"/>
    </xf>
    <xf numFmtId="0" fontId="25" fillId="0" borderId="9" xfId="0" applyFont="1" applyBorder="1"/>
    <xf numFmtId="3" fontId="19" fillId="0" borderId="10" xfId="0" applyNumberFormat="1" applyFont="1" applyBorder="1" applyAlignment="1">
      <alignment horizontal="left"/>
    </xf>
    <xf numFmtId="168" fontId="13" fillId="0" borderId="9" xfId="0" applyNumberFormat="1" applyFont="1" applyBorder="1" applyAlignment="1">
      <alignment horizontal="left"/>
    </xf>
    <xf numFmtId="3" fontId="13" fillId="0" borderId="9" xfId="0" applyNumberFormat="1" applyFont="1" applyBorder="1" applyAlignment="1">
      <alignment horizontal="left"/>
    </xf>
    <xf numFmtId="0" fontId="13" fillId="0" borderId="17" xfId="0" applyFont="1" applyBorder="1"/>
    <xf numFmtId="3" fontId="13" fillId="0" borderId="16" xfId="0" applyNumberFormat="1" applyFont="1" applyBorder="1" applyAlignment="1">
      <alignment horizontal="left"/>
    </xf>
    <xf numFmtId="167" fontId="13" fillId="0" borderId="13" xfId="0" applyNumberFormat="1" applyFont="1" applyBorder="1" applyAlignment="1">
      <alignment horizontal="right"/>
    </xf>
    <xf numFmtId="167" fontId="13" fillId="0" borderId="16" xfId="1" applyNumberFormat="1" applyFont="1" applyBorder="1" applyAlignment="1">
      <alignment horizontal="right"/>
    </xf>
    <xf numFmtId="168" fontId="13" fillId="0" borderId="16" xfId="0" applyNumberFormat="1" applyFont="1" applyBorder="1" applyAlignment="1">
      <alignment horizontal="left"/>
    </xf>
    <xf numFmtId="0" fontId="13" fillId="0" borderId="0" xfId="0" applyFont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/>
    </xf>
    <xf numFmtId="0" fontId="20" fillId="0" borderId="0" xfId="0" applyFont="1" applyAlignment="1">
      <alignment horizontal="left" indent="8"/>
    </xf>
    <xf numFmtId="0" fontId="20" fillId="0" borderId="0" xfId="0" applyFont="1" applyAlignment="1">
      <alignment horizontal="left" indent="6"/>
    </xf>
    <xf numFmtId="0" fontId="17" fillId="0" borderId="12" xfId="0" applyFont="1" applyBorder="1"/>
    <xf numFmtId="0" fontId="15" fillId="0" borderId="9" xfId="0" applyFont="1" applyBorder="1" applyAlignment="1">
      <alignment vertical="top" wrapText="1"/>
    </xf>
    <xf numFmtId="0" fontId="9" fillId="0" borderId="0" xfId="0" applyFont="1" applyAlignment="1">
      <alignment horizontal="left" indent="5"/>
    </xf>
    <xf numFmtId="167" fontId="11" fillId="0" borderId="8" xfId="1" applyNumberFormat="1" applyFont="1" applyBorder="1" applyAlignment="1">
      <alignment horizontal="right" vertical="center"/>
    </xf>
    <xf numFmtId="0" fontId="15" fillId="0" borderId="10" xfId="0" applyFont="1" applyBorder="1" applyAlignment="1">
      <alignment vertical="top" wrapText="1"/>
    </xf>
    <xf numFmtId="0" fontId="13" fillId="0" borderId="13" xfId="0" applyFont="1" applyBorder="1" applyAlignment="1">
      <alignment vertical="top" wrapText="1"/>
    </xf>
    <xf numFmtId="0" fontId="15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indent="6"/>
    </xf>
    <xf numFmtId="0" fontId="9" fillId="0" borderId="0" xfId="0" applyFont="1" applyAlignment="1">
      <alignment horizontal="left" indent="6"/>
    </xf>
    <xf numFmtId="0" fontId="9" fillId="0" borderId="0" xfId="0" applyFont="1" applyAlignment="1">
      <alignment horizontal="left" indent="15"/>
    </xf>
    <xf numFmtId="0" fontId="26" fillId="0" borderId="2" xfId="0" applyFont="1" applyBorder="1"/>
    <xf numFmtId="0" fontId="26" fillId="0" borderId="11" xfId="0" applyFont="1" applyBorder="1"/>
    <xf numFmtId="0" fontId="9" fillId="0" borderId="0" xfId="0" applyFont="1" applyAlignment="1">
      <alignment horizontal="left" indent="2"/>
    </xf>
    <xf numFmtId="0" fontId="9" fillId="0" borderId="9" xfId="0" applyFont="1" applyBorder="1" applyAlignment="1">
      <alignment vertical="top" wrapText="1"/>
    </xf>
    <xf numFmtId="0" fontId="13" fillId="0" borderId="13" xfId="0" applyFont="1" applyBorder="1" applyAlignment="1">
      <alignment horizontal="left" wrapText="1"/>
    </xf>
    <xf numFmtId="0" fontId="13" fillId="0" borderId="9" xfId="0" applyFont="1" applyBorder="1" applyAlignment="1">
      <alignment horizontal="left" wrapText="1"/>
    </xf>
    <xf numFmtId="0" fontId="13" fillId="0" borderId="16" xfId="0" applyFont="1" applyBorder="1" applyAlignment="1">
      <alignment horizontal="left" vertical="top" wrapText="1"/>
    </xf>
    <xf numFmtId="0" fontId="13" fillId="0" borderId="8" xfId="0" applyFont="1" applyBorder="1" applyAlignment="1">
      <alignment wrapText="1"/>
    </xf>
    <xf numFmtId="0" fontId="13" fillId="0" borderId="9" xfId="0" applyFont="1" applyBorder="1" applyAlignment="1">
      <alignment wrapText="1"/>
    </xf>
    <xf numFmtId="166" fontId="13" fillId="0" borderId="9" xfId="0" applyNumberFormat="1" applyFont="1" applyBorder="1" applyAlignment="1">
      <alignment horizontal="left" vertical="center"/>
    </xf>
    <xf numFmtId="0" fontId="13" fillId="0" borderId="8" xfId="0" applyFont="1" applyBorder="1" applyAlignment="1">
      <alignment horizontal="left" wrapText="1"/>
    </xf>
    <xf numFmtId="0" fontId="13" fillId="0" borderId="13" xfId="0" applyNumberFormat="1" applyFont="1" applyBorder="1" applyAlignment="1">
      <alignment horizontal="left"/>
    </xf>
    <xf numFmtId="0" fontId="13" fillId="0" borderId="10" xfId="0" applyFont="1" applyBorder="1" applyAlignment="1">
      <alignment horizontal="left" wrapText="1"/>
    </xf>
    <xf numFmtId="165" fontId="13" fillId="0" borderId="9" xfId="0" applyNumberFormat="1" applyFont="1" applyBorder="1"/>
    <xf numFmtId="0" fontId="26" fillId="0" borderId="23" xfId="0" applyFont="1" applyBorder="1" applyAlignment="1">
      <alignment horizontal="left" vertical="center"/>
    </xf>
    <xf numFmtId="0" fontId="12" fillId="0" borderId="12" xfId="0" applyFont="1" applyBorder="1" applyAlignment="1">
      <alignment horizontal="left"/>
    </xf>
    <xf numFmtId="0" fontId="26" fillId="0" borderId="11" xfId="0" applyFont="1" applyBorder="1" applyAlignment="1">
      <alignment horizontal="left"/>
    </xf>
    <xf numFmtId="0" fontId="26" fillId="0" borderId="1" xfId="0" applyFont="1" applyBorder="1" applyAlignment="1">
      <alignment horizontal="left" vertical="center"/>
    </xf>
    <xf numFmtId="167" fontId="27" fillId="0" borderId="13" xfId="1" applyNumberFormat="1" applyFont="1" applyBorder="1" applyAlignment="1">
      <alignment horizontal="right" vertical="center"/>
    </xf>
    <xf numFmtId="167" fontId="11" fillId="0" borderId="13" xfId="1" applyNumberFormat="1" applyFont="1" applyBorder="1" applyAlignment="1">
      <alignment horizontal="right" vertical="center"/>
    </xf>
    <xf numFmtId="0" fontId="9" fillId="0" borderId="0" xfId="0" applyFont="1" applyAlignment="1">
      <alignment horizontal="left"/>
    </xf>
    <xf numFmtId="167" fontId="27" fillId="0" borderId="1" xfId="1" applyNumberFormat="1" applyFont="1" applyBorder="1" applyAlignment="1">
      <alignment horizontal="right" vertical="center"/>
    </xf>
    <xf numFmtId="167" fontId="27" fillId="0" borderId="13" xfId="0" applyNumberFormat="1" applyFont="1" applyBorder="1" applyAlignment="1">
      <alignment horizontal="right"/>
    </xf>
    <xf numFmtId="167" fontId="27" fillId="0" borderId="9" xfId="0" applyNumberFormat="1" applyFont="1" applyBorder="1" applyAlignment="1">
      <alignment horizontal="right"/>
    </xf>
    <xf numFmtId="0" fontId="16" fillId="0" borderId="16" xfId="0" applyFont="1" applyBorder="1" applyAlignment="1">
      <alignment horizontal="left"/>
    </xf>
    <xf numFmtId="0" fontId="11" fillId="0" borderId="17" xfId="0" applyFont="1" applyBorder="1" applyAlignment="1">
      <alignment horizontal="center"/>
    </xf>
    <xf numFmtId="0" fontId="26" fillId="0" borderId="13" xfId="0" applyFont="1" applyBorder="1" applyAlignment="1">
      <alignment horizontal="left" vertical="center"/>
    </xf>
    <xf numFmtId="167" fontId="27" fillId="0" borderId="9" xfId="1" applyNumberFormat="1" applyFont="1" applyBorder="1" applyAlignment="1">
      <alignment horizontal="right" vertical="center"/>
    </xf>
    <xf numFmtId="167" fontId="27" fillId="0" borderId="8" xfId="1" applyNumberFormat="1" applyFont="1" applyBorder="1" applyAlignment="1">
      <alignment horizontal="right" vertical="center"/>
    </xf>
    <xf numFmtId="0" fontId="11" fillId="0" borderId="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67" fontId="11" fillId="0" borderId="10" xfId="1" applyNumberFormat="1" applyFont="1" applyBorder="1" applyAlignment="1">
      <alignment horizontal="right" vertical="center"/>
    </xf>
    <xf numFmtId="0" fontId="11" fillId="0" borderId="13" xfId="0" applyFont="1" applyBorder="1" applyAlignment="1">
      <alignment horizontal="center" vertical="center"/>
    </xf>
    <xf numFmtId="167" fontId="10" fillId="0" borderId="10" xfId="1" applyNumberFormat="1" applyFont="1" applyBorder="1" applyAlignment="1">
      <alignment horizontal="right" vertical="center"/>
    </xf>
    <xf numFmtId="165" fontId="9" fillId="0" borderId="13" xfId="0" applyNumberFormat="1" applyFont="1" applyBorder="1"/>
    <xf numFmtId="167" fontId="11" fillId="0" borderId="13" xfId="2" applyNumberFormat="1" applyFont="1" applyBorder="1" applyAlignment="1">
      <alignment horizontal="right" vertical="center"/>
    </xf>
    <xf numFmtId="168" fontId="13" fillId="0" borderId="9" xfId="0" applyNumberFormat="1" applyFont="1" applyBorder="1"/>
    <xf numFmtId="165" fontId="11" fillId="0" borderId="0" xfId="1" applyNumberFormat="1" applyFont="1" applyAlignment="1">
      <alignment horizontal="left" indent="5"/>
    </xf>
    <xf numFmtId="165" fontId="9" fillId="0" borderId="0" xfId="1" applyNumberFormat="1" applyFont="1" applyAlignment="1">
      <alignment horizontal="justify"/>
    </xf>
    <xf numFmtId="0" fontId="9" fillId="0" borderId="0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13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28" fillId="0" borderId="0" xfId="0" applyFont="1" applyBorder="1" applyAlignment="1">
      <alignment horizontal="center" vertical="top"/>
    </xf>
    <xf numFmtId="0" fontId="26" fillId="0" borderId="22" xfId="0" applyFont="1" applyBorder="1" applyAlignment="1">
      <alignment horizontal="left" vertical="top" wrapText="1"/>
    </xf>
    <xf numFmtId="0" fontId="26" fillId="0" borderId="21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center"/>
    </xf>
    <xf numFmtId="167" fontId="9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9" fillId="0" borderId="8" xfId="0" applyFont="1" applyBorder="1" applyAlignment="1">
      <alignment horizontal="left"/>
    </xf>
    <xf numFmtId="0" fontId="29" fillId="0" borderId="8" xfId="0" applyFont="1" applyBorder="1" applyAlignment="1">
      <alignment horizontal="center"/>
    </xf>
    <xf numFmtId="167" fontId="29" fillId="0" borderId="8" xfId="0" applyNumberFormat="1" applyFont="1" applyBorder="1" applyAlignment="1">
      <alignment horizontal="right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E1265"/>
  <sheetViews>
    <sheetView tabSelected="1" topLeftCell="A1209" zoomScaleNormal="100" workbookViewId="0">
      <selection activeCell="H18" sqref="H18"/>
    </sheetView>
  </sheetViews>
  <sheetFormatPr defaultRowHeight="24" customHeight="1"/>
  <cols>
    <col min="1" max="1" width="5.28515625" style="36" customWidth="1"/>
    <col min="2" max="2" width="23.28515625" style="36" customWidth="1"/>
    <col min="3" max="3" width="28" style="36" customWidth="1"/>
    <col min="4" max="4" width="15.28515625" style="36" customWidth="1"/>
    <col min="5" max="5" width="15.7109375" style="146" customWidth="1"/>
    <col min="6" max="6" width="12.42578125" style="36" customWidth="1"/>
    <col min="7" max="7" width="9.140625" style="36"/>
    <col min="8" max="8" width="102.42578125" style="36" customWidth="1"/>
    <col min="9" max="16384" width="9.140625" style="36"/>
  </cols>
  <sheetData>
    <row r="1" spans="1:8" s="104" customFormat="1" ht="24" customHeight="1">
      <c r="E1" s="385"/>
      <c r="F1" s="385"/>
    </row>
    <row r="2" spans="1:8" ht="27.95" customHeight="1">
      <c r="A2" s="386" t="s">
        <v>589</v>
      </c>
      <c r="B2" s="386"/>
      <c r="C2" s="386"/>
      <c r="D2" s="386"/>
      <c r="E2" s="386"/>
      <c r="F2" s="386"/>
    </row>
    <row r="3" spans="1:8" ht="27.95" customHeight="1">
      <c r="A3" s="386" t="s">
        <v>47</v>
      </c>
      <c r="B3" s="386"/>
      <c r="C3" s="386"/>
      <c r="D3" s="386"/>
      <c r="E3" s="386"/>
      <c r="F3" s="386"/>
    </row>
    <row r="4" spans="1:8" ht="27.95" customHeight="1">
      <c r="A4" s="386" t="s">
        <v>48</v>
      </c>
      <c r="B4" s="386"/>
      <c r="C4" s="386"/>
      <c r="D4" s="386"/>
      <c r="E4" s="386"/>
      <c r="F4" s="386"/>
    </row>
    <row r="5" spans="1:8" ht="20.100000000000001" customHeight="1">
      <c r="A5" s="37"/>
      <c r="B5" s="37"/>
      <c r="C5" s="37"/>
      <c r="D5" s="37"/>
      <c r="E5" s="127"/>
      <c r="H5" s="135"/>
    </row>
    <row r="6" spans="1:8" ht="24" customHeight="1">
      <c r="A6" s="378" t="s">
        <v>594</v>
      </c>
      <c r="B6" s="378"/>
      <c r="C6" s="378"/>
      <c r="D6" s="378"/>
      <c r="E6" s="378"/>
      <c r="F6" s="378"/>
    </row>
    <row r="7" spans="1:8" s="104" customFormat="1" ht="24" customHeight="1">
      <c r="A7" s="358" t="s">
        <v>1320</v>
      </c>
      <c r="B7" s="148"/>
      <c r="C7" s="148"/>
      <c r="D7" s="148"/>
      <c r="E7" s="148"/>
      <c r="F7" s="148"/>
    </row>
    <row r="8" spans="1:8" ht="22.5" customHeight="1">
      <c r="A8" s="149" t="s">
        <v>590</v>
      </c>
      <c r="B8" s="149"/>
      <c r="C8" s="149"/>
      <c r="D8" s="149"/>
      <c r="E8" s="149"/>
      <c r="F8" s="149"/>
      <c r="H8" s="38"/>
    </row>
    <row r="9" spans="1:8" ht="24" customHeight="1">
      <c r="A9" s="378" t="s">
        <v>522</v>
      </c>
      <c r="B9" s="378"/>
      <c r="C9" s="378"/>
      <c r="D9" s="378"/>
      <c r="E9" s="378"/>
      <c r="F9" s="378"/>
      <c r="H9" s="66"/>
    </row>
    <row r="10" spans="1:8" ht="20.100000000000001" customHeight="1">
      <c r="A10" s="39"/>
      <c r="C10" s="39"/>
      <c r="D10" s="39"/>
      <c r="E10" s="128"/>
    </row>
    <row r="11" spans="1:8" ht="24" customHeight="1">
      <c r="A11" s="40" t="s">
        <v>41</v>
      </c>
      <c r="B11" s="40" t="s">
        <v>619</v>
      </c>
      <c r="C11" s="40" t="s">
        <v>620</v>
      </c>
      <c r="D11" s="40" t="s">
        <v>605</v>
      </c>
      <c r="E11" s="137" t="s">
        <v>31</v>
      </c>
      <c r="F11" s="40" t="s">
        <v>396</v>
      </c>
    </row>
    <row r="12" spans="1:8" ht="24" customHeight="1">
      <c r="A12" s="41" t="s">
        <v>40</v>
      </c>
      <c r="B12" s="41"/>
      <c r="C12" s="41"/>
      <c r="D12" s="41" t="s">
        <v>606</v>
      </c>
      <c r="E12" s="129"/>
      <c r="F12" s="42"/>
    </row>
    <row r="13" spans="1:8" ht="24" customHeight="1">
      <c r="A13" s="169"/>
      <c r="B13" s="390" t="s">
        <v>225</v>
      </c>
      <c r="C13" s="391"/>
      <c r="D13" s="391"/>
      <c r="E13" s="392">
        <f>SUM(E14,E97)</f>
        <v>40350000</v>
      </c>
      <c r="F13" s="157"/>
    </row>
    <row r="14" spans="1:8" ht="24" customHeight="1">
      <c r="A14" s="171"/>
      <c r="B14" s="172" t="s">
        <v>23</v>
      </c>
      <c r="C14" s="171"/>
      <c r="D14" s="171"/>
      <c r="E14" s="173">
        <f>SUM(E15:E30,E35:E61,E67:E92)</f>
        <v>34950000</v>
      </c>
      <c r="F14" s="162"/>
    </row>
    <row r="15" spans="1:8" s="104" customFormat="1" ht="24" customHeight="1">
      <c r="A15" s="174">
        <v>1</v>
      </c>
      <c r="B15" s="237" t="s">
        <v>683</v>
      </c>
      <c r="C15" s="218" t="s">
        <v>684</v>
      </c>
      <c r="D15" s="160" t="s">
        <v>402</v>
      </c>
      <c r="E15" s="202">
        <v>10000000</v>
      </c>
      <c r="F15" s="218" t="s">
        <v>397</v>
      </c>
    </row>
    <row r="16" spans="1:8" s="104" customFormat="1" ht="24" customHeight="1">
      <c r="A16" s="177"/>
      <c r="B16" s="235"/>
      <c r="C16" s="218" t="s">
        <v>685</v>
      </c>
      <c r="D16" s="160" t="s">
        <v>37</v>
      </c>
      <c r="E16" s="236"/>
      <c r="F16" s="218"/>
    </row>
    <row r="17" spans="1:6" s="104" customFormat="1" ht="24" customHeight="1">
      <c r="A17" s="177"/>
      <c r="B17" s="235"/>
      <c r="C17" s="218" t="s">
        <v>686</v>
      </c>
      <c r="D17" s="218"/>
      <c r="E17" s="236"/>
      <c r="F17" s="218"/>
    </row>
    <row r="18" spans="1:6" s="104" customFormat="1" ht="24" customHeight="1">
      <c r="A18" s="179"/>
      <c r="B18" s="239"/>
      <c r="C18" s="219"/>
      <c r="D18" s="219"/>
      <c r="E18" s="240"/>
      <c r="F18" s="219"/>
    </row>
    <row r="19" spans="1:6" s="104" customFormat="1" ht="24" customHeight="1">
      <c r="A19" s="174">
        <v>2</v>
      </c>
      <c r="B19" s="241" t="s">
        <v>687</v>
      </c>
      <c r="C19" s="238" t="s">
        <v>690</v>
      </c>
      <c r="D19" s="160" t="s">
        <v>402</v>
      </c>
      <c r="E19" s="202">
        <v>1500000</v>
      </c>
      <c r="F19" s="218" t="s">
        <v>397</v>
      </c>
    </row>
    <row r="20" spans="1:6" s="104" customFormat="1" ht="24" customHeight="1">
      <c r="A20" s="177"/>
      <c r="B20" s="237" t="s">
        <v>688</v>
      </c>
      <c r="C20" s="218" t="s">
        <v>691</v>
      </c>
      <c r="D20" s="160" t="s">
        <v>37</v>
      </c>
      <c r="E20" s="236"/>
      <c r="F20" s="218"/>
    </row>
    <row r="21" spans="1:6" s="104" customFormat="1" ht="24" customHeight="1">
      <c r="A21" s="177"/>
      <c r="B21" s="237" t="s">
        <v>689</v>
      </c>
      <c r="C21" s="218" t="s">
        <v>692</v>
      </c>
      <c r="D21" s="218"/>
      <c r="E21" s="236"/>
      <c r="F21" s="218"/>
    </row>
    <row r="22" spans="1:6" s="104" customFormat="1" ht="24" customHeight="1">
      <c r="A22" s="177"/>
      <c r="B22" s="235"/>
      <c r="C22" s="218" t="s">
        <v>693</v>
      </c>
      <c r="D22" s="218"/>
      <c r="E22" s="236"/>
      <c r="F22" s="218"/>
    </row>
    <row r="23" spans="1:6" s="104" customFormat="1" ht="24" customHeight="1">
      <c r="A23" s="177"/>
      <c r="B23" s="235"/>
      <c r="C23" s="218" t="s">
        <v>694</v>
      </c>
      <c r="D23" s="218"/>
      <c r="E23" s="236"/>
      <c r="F23" s="218"/>
    </row>
    <row r="24" spans="1:6" s="104" customFormat="1" ht="24" customHeight="1">
      <c r="A24" s="179"/>
      <c r="B24" s="239"/>
      <c r="C24" s="219"/>
      <c r="D24" s="219"/>
      <c r="E24" s="240"/>
      <c r="F24" s="219"/>
    </row>
    <row r="25" spans="1:6" s="104" customFormat="1" ht="24" customHeight="1">
      <c r="A25" s="174">
        <v>3</v>
      </c>
      <c r="B25" s="246" t="s">
        <v>695</v>
      </c>
      <c r="C25" s="244" t="s">
        <v>696</v>
      </c>
      <c r="D25" s="155" t="s">
        <v>607</v>
      </c>
      <c r="E25" s="202">
        <v>400000</v>
      </c>
      <c r="F25" s="218" t="s">
        <v>397</v>
      </c>
    </row>
    <row r="26" spans="1:6" s="104" customFormat="1" ht="24" customHeight="1">
      <c r="A26" s="242"/>
      <c r="B26" s="243"/>
      <c r="C26" s="244" t="s">
        <v>697</v>
      </c>
      <c r="D26" s="160" t="s">
        <v>402</v>
      </c>
      <c r="E26" s="236"/>
      <c r="F26" s="218"/>
    </row>
    <row r="27" spans="1:6" s="104" customFormat="1" ht="24" customHeight="1">
      <c r="A27" s="242"/>
      <c r="B27" s="243"/>
      <c r="C27" s="244" t="s">
        <v>698</v>
      </c>
      <c r="D27" s="160" t="s">
        <v>597</v>
      </c>
      <c r="E27" s="245"/>
      <c r="F27" s="244"/>
    </row>
    <row r="28" spans="1:6" s="104" customFormat="1" ht="24" customHeight="1">
      <c r="A28" s="242"/>
      <c r="B28" s="243"/>
      <c r="C28" s="244" t="s">
        <v>224</v>
      </c>
      <c r="D28" s="244"/>
      <c r="E28" s="245"/>
      <c r="F28" s="244"/>
    </row>
    <row r="29" spans="1:6" s="104" customFormat="1" ht="24" customHeight="1">
      <c r="A29" s="242"/>
      <c r="B29" s="243"/>
      <c r="C29" s="244"/>
      <c r="D29" s="244"/>
      <c r="E29" s="245"/>
      <c r="F29" s="244"/>
    </row>
    <row r="30" spans="1:6" s="104" customFormat="1" ht="24" customHeight="1">
      <c r="A30" s="179"/>
      <c r="B30" s="239"/>
      <c r="C30" s="219"/>
      <c r="D30" s="219"/>
      <c r="E30" s="240"/>
      <c r="F30" s="219"/>
    </row>
    <row r="31" spans="1:6" ht="24" customHeight="1">
      <c r="A31" s="48"/>
      <c r="B31" s="49"/>
      <c r="C31" s="50"/>
      <c r="D31" s="51"/>
      <c r="E31" s="131"/>
      <c r="F31" s="52"/>
    </row>
    <row r="32" spans="1:6" ht="24" customHeight="1">
      <c r="A32" s="379" t="s">
        <v>404</v>
      </c>
      <c r="B32" s="379"/>
      <c r="C32" s="379"/>
      <c r="D32" s="379"/>
      <c r="E32" s="379"/>
      <c r="F32" s="379"/>
    </row>
    <row r="33" spans="1:8" ht="24" customHeight="1">
      <c r="A33" s="40" t="s">
        <v>41</v>
      </c>
      <c r="B33" s="40" t="s">
        <v>619</v>
      </c>
      <c r="C33" s="40" t="s">
        <v>620</v>
      </c>
      <c r="D33" s="40" t="s">
        <v>605</v>
      </c>
      <c r="E33" s="137" t="s">
        <v>31</v>
      </c>
      <c r="F33" s="40" t="s">
        <v>396</v>
      </c>
    </row>
    <row r="34" spans="1:8" ht="24" customHeight="1">
      <c r="A34" s="41" t="s">
        <v>40</v>
      </c>
      <c r="B34" s="41"/>
      <c r="C34" s="41"/>
      <c r="D34" s="41" t="s">
        <v>606</v>
      </c>
      <c r="E34" s="129"/>
      <c r="F34" s="42"/>
      <c r="H34" s="54"/>
    </row>
    <row r="35" spans="1:8" ht="24" customHeight="1">
      <c r="A35" s="195">
        <v>4</v>
      </c>
      <c r="B35" s="196" t="s">
        <v>235</v>
      </c>
      <c r="C35" s="196" t="s">
        <v>291</v>
      </c>
      <c r="D35" s="197" t="s">
        <v>402</v>
      </c>
      <c r="E35" s="198">
        <v>1000000</v>
      </c>
      <c r="F35" s="197" t="s">
        <v>397</v>
      </c>
    </row>
    <row r="36" spans="1:8" ht="24" customHeight="1">
      <c r="A36" s="177"/>
      <c r="B36" s="175" t="s">
        <v>236</v>
      </c>
      <c r="C36" s="175" t="s">
        <v>292</v>
      </c>
      <c r="D36" s="160" t="s">
        <v>37</v>
      </c>
      <c r="E36" s="176"/>
      <c r="F36" s="162"/>
    </row>
    <row r="37" spans="1:8" ht="24" customHeight="1">
      <c r="A37" s="177"/>
      <c r="B37" s="178"/>
      <c r="C37" s="175" t="s">
        <v>293</v>
      </c>
      <c r="D37" s="171"/>
      <c r="E37" s="176"/>
      <c r="F37" s="162"/>
    </row>
    <row r="38" spans="1:8" ht="24" customHeight="1">
      <c r="A38" s="177"/>
      <c r="B38" s="178"/>
      <c r="C38" s="175" t="s">
        <v>407</v>
      </c>
      <c r="D38" s="171"/>
      <c r="E38" s="176"/>
      <c r="F38" s="162"/>
    </row>
    <row r="39" spans="1:8" ht="24" customHeight="1">
      <c r="A39" s="177"/>
      <c r="B39" s="178"/>
      <c r="C39" s="175" t="s">
        <v>294</v>
      </c>
      <c r="D39" s="171"/>
      <c r="E39" s="176"/>
      <c r="F39" s="162"/>
    </row>
    <row r="40" spans="1:8" ht="24" customHeight="1">
      <c r="A40" s="179"/>
      <c r="B40" s="180"/>
      <c r="C40" s="181"/>
      <c r="D40" s="182"/>
      <c r="E40" s="183"/>
      <c r="F40" s="167"/>
    </row>
    <row r="41" spans="1:8" ht="24" customHeight="1">
      <c r="A41" s="184">
        <v>5</v>
      </c>
      <c r="B41" s="185" t="s">
        <v>295</v>
      </c>
      <c r="C41" s="185" t="s">
        <v>296</v>
      </c>
      <c r="D41" s="155" t="s">
        <v>402</v>
      </c>
      <c r="E41" s="186">
        <v>100000</v>
      </c>
      <c r="F41" s="155" t="s">
        <v>397</v>
      </c>
    </row>
    <row r="42" spans="1:8" ht="24" customHeight="1">
      <c r="A42" s="177"/>
      <c r="B42" s="178"/>
      <c r="C42" s="175" t="s">
        <v>297</v>
      </c>
      <c r="D42" s="160" t="s">
        <v>37</v>
      </c>
      <c r="E42" s="176"/>
      <c r="F42" s="162"/>
    </row>
    <row r="43" spans="1:8" ht="24" customHeight="1">
      <c r="A43" s="177"/>
      <c r="B43" s="178"/>
      <c r="C43" s="175" t="s">
        <v>591</v>
      </c>
      <c r="D43" s="171"/>
      <c r="E43" s="176"/>
      <c r="F43" s="162"/>
    </row>
    <row r="44" spans="1:8" ht="24" customHeight="1">
      <c r="A44" s="177"/>
      <c r="B44" s="178"/>
      <c r="C44" s="175" t="s">
        <v>592</v>
      </c>
      <c r="D44" s="171"/>
      <c r="E44" s="176"/>
      <c r="F44" s="162"/>
    </row>
    <row r="45" spans="1:8" s="104" customFormat="1" ht="24" customHeight="1">
      <c r="A45" s="177"/>
      <c r="B45" s="178"/>
      <c r="C45" s="175" t="s">
        <v>593</v>
      </c>
      <c r="D45" s="171"/>
      <c r="E45" s="176"/>
      <c r="F45" s="162"/>
    </row>
    <row r="46" spans="1:8" ht="24" customHeight="1">
      <c r="A46" s="179"/>
      <c r="B46" s="180"/>
      <c r="C46" s="181"/>
      <c r="D46" s="182"/>
      <c r="E46" s="183"/>
      <c r="F46" s="167"/>
    </row>
    <row r="47" spans="1:8" ht="24" customHeight="1">
      <c r="A47" s="187">
        <v>6</v>
      </c>
      <c r="B47" s="185" t="s">
        <v>595</v>
      </c>
      <c r="C47" s="185" t="s">
        <v>231</v>
      </c>
      <c r="D47" s="155" t="s">
        <v>402</v>
      </c>
      <c r="E47" s="186">
        <v>100000</v>
      </c>
      <c r="F47" s="155" t="s">
        <v>397</v>
      </c>
    </row>
    <row r="48" spans="1:8" ht="24" customHeight="1">
      <c r="A48" s="188"/>
      <c r="B48" s="175" t="s">
        <v>596</v>
      </c>
      <c r="C48" s="175" t="s">
        <v>232</v>
      </c>
      <c r="D48" s="160" t="s">
        <v>37</v>
      </c>
      <c r="E48" s="176"/>
      <c r="F48" s="162"/>
    </row>
    <row r="49" spans="1:8" ht="24" customHeight="1">
      <c r="A49" s="188"/>
      <c r="B49" s="175" t="s">
        <v>566</v>
      </c>
      <c r="C49" s="175" t="s">
        <v>233</v>
      </c>
      <c r="D49" s="160"/>
      <c r="E49" s="176"/>
      <c r="F49" s="162"/>
    </row>
    <row r="50" spans="1:8" ht="24" customHeight="1">
      <c r="A50" s="188"/>
      <c r="B50" s="188"/>
      <c r="C50" s="175" t="s">
        <v>234</v>
      </c>
      <c r="D50" s="160"/>
      <c r="E50" s="176"/>
      <c r="F50" s="162"/>
    </row>
    <row r="51" spans="1:8" ht="24" customHeight="1">
      <c r="A51" s="189"/>
      <c r="B51" s="189"/>
      <c r="C51" s="181"/>
      <c r="D51" s="181"/>
      <c r="E51" s="183"/>
      <c r="F51" s="167"/>
    </row>
    <row r="52" spans="1:8" ht="24" customHeight="1">
      <c r="A52" s="190">
        <v>7</v>
      </c>
      <c r="B52" s="168" t="s">
        <v>237</v>
      </c>
      <c r="C52" s="191" t="s">
        <v>298</v>
      </c>
      <c r="D52" s="155" t="s">
        <v>607</v>
      </c>
      <c r="E52" s="156">
        <v>450000</v>
      </c>
      <c r="F52" s="155" t="s">
        <v>397</v>
      </c>
    </row>
    <row r="53" spans="1:8" ht="24" customHeight="1">
      <c r="A53" s="158"/>
      <c r="B53" s="192" t="s">
        <v>238</v>
      </c>
      <c r="C53" s="160" t="s">
        <v>299</v>
      </c>
      <c r="D53" s="160" t="s">
        <v>402</v>
      </c>
      <c r="E53" s="161"/>
      <c r="F53" s="162"/>
    </row>
    <row r="54" spans="1:8" ht="24" customHeight="1">
      <c r="A54" s="158"/>
      <c r="B54" s="192"/>
      <c r="C54" s="160" t="s">
        <v>239</v>
      </c>
      <c r="D54" s="160" t="s">
        <v>597</v>
      </c>
      <c r="E54" s="161"/>
      <c r="F54" s="162"/>
    </row>
    <row r="55" spans="1:8" ht="24" customHeight="1">
      <c r="A55" s="158"/>
      <c r="B55" s="192"/>
      <c r="C55" s="160" t="s">
        <v>300</v>
      </c>
      <c r="D55" s="160"/>
      <c r="E55" s="161"/>
      <c r="F55" s="162"/>
      <c r="G55" s="56"/>
      <c r="H55" s="57"/>
    </row>
    <row r="56" spans="1:8" ht="24" customHeight="1">
      <c r="A56" s="158"/>
      <c r="B56" s="192"/>
      <c r="C56" s="193" t="s">
        <v>301</v>
      </c>
      <c r="D56" s="160"/>
      <c r="E56" s="161"/>
      <c r="F56" s="162"/>
    </row>
    <row r="57" spans="1:8" ht="24" customHeight="1">
      <c r="A57" s="163"/>
      <c r="B57" s="164"/>
      <c r="C57" s="165"/>
      <c r="D57" s="165"/>
      <c r="E57" s="166"/>
      <c r="F57" s="167"/>
    </row>
    <row r="58" spans="1:8" ht="24" customHeight="1">
      <c r="A58" s="195">
        <v>8</v>
      </c>
      <c r="B58" s="196" t="s">
        <v>240</v>
      </c>
      <c r="C58" s="196" t="s">
        <v>241</v>
      </c>
      <c r="D58" s="197" t="s">
        <v>607</v>
      </c>
      <c r="E58" s="198">
        <v>200000</v>
      </c>
      <c r="F58" s="197" t="s">
        <v>397</v>
      </c>
      <c r="H58" s="54"/>
    </row>
    <row r="59" spans="1:8" ht="24" customHeight="1">
      <c r="A59" s="158"/>
      <c r="B59" s="192"/>
      <c r="C59" s="160" t="s">
        <v>25</v>
      </c>
      <c r="D59" s="160" t="s">
        <v>402</v>
      </c>
      <c r="E59" s="161"/>
      <c r="F59" s="162"/>
    </row>
    <row r="60" spans="1:8" ht="24" customHeight="1">
      <c r="A60" s="158"/>
      <c r="B60" s="192"/>
      <c r="C60" s="160" t="s">
        <v>302</v>
      </c>
      <c r="D60" s="160" t="s">
        <v>597</v>
      </c>
      <c r="E60" s="161"/>
      <c r="F60" s="162"/>
    </row>
    <row r="61" spans="1:8" ht="24" customHeight="1">
      <c r="A61" s="163"/>
      <c r="B61" s="194"/>
      <c r="C61" s="165"/>
      <c r="D61" s="165"/>
      <c r="E61" s="166"/>
      <c r="F61" s="167"/>
    </row>
    <row r="62" spans="1:8" s="104" customFormat="1" ht="24" customHeight="1">
      <c r="A62" s="151"/>
      <c r="B62" s="247"/>
      <c r="C62" s="56"/>
      <c r="D62" s="56"/>
      <c r="E62" s="134"/>
      <c r="F62" s="57"/>
    </row>
    <row r="63" spans="1:8" s="104" customFormat="1" ht="24" customHeight="1">
      <c r="A63" s="379" t="s">
        <v>405</v>
      </c>
      <c r="B63" s="379"/>
      <c r="C63" s="379"/>
      <c r="D63" s="379"/>
      <c r="E63" s="379"/>
      <c r="F63" s="379"/>
    </row>
    <row r="64" spans="1:8" s="104" customFormat="1" ht="24" customHeight="1">
      <c r="A64" s="151"/>
      <c r="B64" s="151"/>
      <c r="C64" s="151"/>
      <c r="D64" s="151"/>
      <c r="E64" s="132"/>
      <c r="F64" s="151"/>
    </row>
    <row r="65" spans="1:8" s="104" customFormat="1" ht="24" customHeight="1">
      <c r="A65" s="40" t="s">
        <v>41</v>
      </c>
      <c r="B65" s="40" t="s">
        <v>619</v>
      </c>
      <c r="C65" s="40" t="s">
        <v>620</v>
      </c>
      <c r="D65" s="40" t="s">
        <v>605</v>
      </c>
      <c r="E65" s="137" t="s">
        <v>31</v>
      </c>
      <c r="F65" s="40" t="s">
        <v>396</v>
      </c>
    </row>
    <row r="66" spans="1:8" s="104" customFormat="1" ht="24" customHeight="1">
      <c r="A66" s="41" t="s">
        <v>40</v>
      </c>
      <c r="B66" s="41"/>
      <c r="C66" s="41"/>
      <c r="D66" s="41" t="s">
        <v>606</v>
      </c>
      <c r="E66" s="129"/>
      <c r="F66" s="42"/>
      <c r="H66" s="54"/>
    </row>
    <row r="67" spans="1:8" ht="24" customHeight="1">
      <c r="A67" s="199">
        <v>9</v>
      </c>
      <c r="B67" s="200" t="s">
        <v>303</v>
      </c>
      <c r="C67" s="197" t="s">
        <v>305</v>
      </c>
      <c r="D67" s="197" t="s">
        <v>564</v>
      </c>
      <c r="E67" s="201">
        <v>600000</v>
      </c>
      <c r="F67" s="197" t="s">
        <v>397</v>
      </c>
    </row>
    <row r="68" spans="1:8" ht="24" customHeight="1">
      <c r="A68" s="158"/>
      <c r="B68" s="192" t="s">
        <v>304</v>
      </c>
      <c r="C68" s="160" t="s">
        <v>306</v>
      </c>
      <c r="D68" s="160" t="s">
        <v>638</v>
      </c>
      <c r="E68" s="161"/>
      <c r="F68" s="162"/>
    </row>
    <row r="69" spans="1:8" ht="24" customHeight="1">
      <c r="A69" s="158"/>
      <c r="B69" s="159"/>
      <c r="C69" s="160" t="s">
        <v>307</v>
      </c>
      <c r="D69" s="160" t="s">
        <v>608</v>
      </c>
      <c r="E69" s="161"/>
      <c r="F69" s="162"/>
    </row>
    <row r="70" spans="1:8" ht="24" customHeight="1">
      <c r="A70" s="158"/>
      <c r="B70" s="159"/>
      <c r="C70" s="160" t="s">
        <v>598</v>
      </c>
      <c r="D70" s="160" t="s">
        <v>609</v>
      </c>
      <c r="E70" s="161"/>
      <c r="F70" s="162"/>
    </row>
    <row r="71" spans="1:8" ht="24" customHeight="1">
      <c r="A71" s="163"/>
      <c r="B71" s="194"/>
      <c r="C71" s="165"/>
      <c r="D71" s="165"/>
      <c r="E71" s="166"/>
      <c r="F71" s="167"/>
    </row>
    <row r="72" spans="1:8" s="104" customFormat="1" ht="24" customHeight="1">
      <c r="A72" s="199">
        <v>10</v>
      </c>
      <c r="B72" s="200" t="s">
        <v>599</v>
      </c>
      <c r="C72" s="197" t="s">
        <v>601</v>
      </c>
      <c r="D72" s="197" t="s">
        <v>402</v>
      </c>
      <c r="E72" s="201">
        <v>15000000</v>
      </c>
      <c r="F72" s="197" t="s">
        <v>397</v>
      </c>
    </row>
    <row r="73" spans="1:8" s="104" customFormat="1" ht="24" customHeight="1">
      <c r="A73" s="158"/>
      <c r="B73" s="192" t="s">
        <v>600</v>
      </c>
      <c r="C73" s="160" t="s">
        <v>602</v>
      </c>
      <c r="D73" s="160" t="s">
        <v>37</v>
      </c>
      <c r="E73" s="161"/>
      <c r="F73" s="162"/>
    </row>
    <row r="74" spans="1:8" s="104" customFormat="1" ht="24" customHeight="1">
      <c r="A74" s="158"/>
      <c r="B74" s="192" t="s">
        <v>223</v>
      </c>
      <c r="C74" s="160" t="s">
        <v>604</v>
      </c>
      <c r="D74" s="160"/>
      <c r="E74" s="161"/>
      <c r="F74" s="162"/>
    </row>
    <row r="75" spans="1:8" s="104" customFormat="1" ht="24" customHeight="1">
      <c r="A75" s="163"/>
      <c r="B75" s="194"/>
      <c r="C75" s="165"/>
      <c r="D75" s="165"/>
      <c r="E75" s="166"/>
      <c r="F75" s="167"/>
    </row>
    <row r="76" spans="1:8" s="104" customFormat="1" ht="24" customHeight="1">
      <c r="A76" s="99">
        <v>11</v>
      </c>
      <c r="B76" s="168" t="s">
        <v>603</v>
      </c>
      <c r="C76" s="155" t="s">
        <v>610</v>
      </c>
      <c r="D76" s="197" t="s">
        <v>607</v>
      </c>
      <c r="E76" s="156">
        <v>1000000</v>
      </c>
      <c r="F76" s="197" t="s">
        <v>397</v>
      </c>
    </row>
    <row r="77" spans="1:8" s="104" customFormat="1" ht="24" customHeight="1">
      <c r="A77" s="158"/>
      <c r="B77" s="159"/>
      <c r="C77" s="160" t="s">
        <v>611</v>
      </c>
      <c r="D77" s="160" t="s">
        <v>402</v>
      </c>
      <c r="E77" s="161"/>
      <c r="F77" s="162"/>
    </row>
    <row r="78" spans="1:8" s="104" customFormat="1" ht="24" customHeight="1">
      <c r="A78" s="158"/>
      <c r="B78" s="159"/>
      <c r="C78" s="160" t="s">
        <v>612</v>
      </c>
      <c r="D78" s="160" t="s">
        <v>597</v>
      </c>
      <c r="E78" s="161"/>
      <c r="F78" s="162"/>
    </row>
    <row r="79" spans="1:8" s="104" customFormat="1" ht="24" customHeight="1">
      <c r="A79" s="158"/>
      <c r="B79" s="159"/>
      <c r="C79" s="160" t="s">
        <v>341</v>
      </c>
      <c r="D79" s="160"/>
      <c r="E79" s="161"/>
      <c r="F79" s="162"/>
    </row>
    <row r="80" spans="1:8" s="52" customFormat="1" ht="24.95" customHeight="1">
      <c r="A80" s="163"/>
      <c r="B80" s="164"/>
      <c r="C80" s="165"/>
      <c r="D80" s="165"/>
      <c r="E80" s="166"/>
      <c r="F80" s="167"/>
    </row>
    <row r="81" spans="1:8" ht="24" customHeight="1">
      <c r="A81" s="190">
        <v>12</v>
      </c>
      <c r="B81" s="168" t="s">
        <v>242</v>
      </c>
      <c r="C81" s="155" t="s">
        <v>242</v>
      </c>
      <c r="D81" s="155" t="s">
        <v>402</v>
      </c>
      <c r="E81" s="186">
        <v>4000000</v>
      </c>
      <c r="F81" s="155" t="s">
        <v>397</v>
      </c>
    </row>
    <row r="82" spans="1:8" ht="24" customHeight="1">
      <c r="A82" s="158"/>
      <c r="B82" s="192" t="s">
        <v>230</v>
      </c>
      <c r="C82" s="160" t="s">
        <v>243</v>
      </c>
      <c r="D82" s="160" t="s">
        <v>37</v>
      </c>
      <c r="E82" s="202"/>
      <c r="F82" s="162"/>
    </row>
    <row r="83" spans="1:8" ht="24" customHeight="1">
      <c r="A83" s="203"/>
      <c r="B83" s="204"/>
      <c r="C83" s="160" t="s">
        <v>244</v>
      </c>
      <c r="D83" s="193"/>
      <c r="E83" s="161"/>
      <c r="F83" s="162"/>
    </row>
    <row r="84" spans="1:8" ht="24" customHeight="1">
      <c r="A84" s="158"/>
      <c r="B84" s="192"/>
      <c r="C84" s="160" t="s">
        <v>308</v>
      </c>
      <c r="D84" s="160"/>
      <c r="E84" s="161"/>
      <c r="F84" s="162"/>
    </row>
    <row r="85" spans="1:8" ht="24" customHeight="1">
      <c r="A85" s="158"/>
      <c r="B85" s="192"/>
      <c r="C85" s="160" t="s">
        <v>309</v>
      </c>
      <c r="D85" s="160"/>
      <c r="E85" s="161"/>
      <c r="F85" s="162"/>
    </row>
    <row r="86" spans="1:8" s="104" customFormat="1" ht="24" customHeight="1">
      <c r="A86" s="163"/>
      <c r="B86" s="164"/>
      <c r="C86" s="165"/>
      <c r="D86" s="165"/>
      <c r="E86" s="166"/>
      <c r="F86" s="167"/>
    </row>
    <row r="87" spans="1:8" ht="24" customHeight="1">
      <c r="A87" s="190">
        <v>13</v>
      </c>
      <c r="B87" s="168" t="s">
        <v>245</v>
      </c>
      <c r="C87" s="155" t="s">
        <v>310</v>
      </c>
      <c r="D87" s="155" t="s">
        <v>564</v>
      </c>
      <c r="E87" s="156">
        <v>600000</v>
      </c>
      <c r="F87" s="155" t="s">
        <v>397</v>
      </c>
    </row>
    <row r="88" spans="1:8" ht="24" customHeight="1">
      <c r="A88" s="158"/>
      <c r="B88" s="192" t="s">
        <v>246</v>
      </c>
      <c r="C88" s="160" t="s">
        <v>311</v>
      </c>
      <c r="D88" s="160" t="s">
        <v>37</v>
      </c>
      <c r="E88" s="161"/>
      <c r="F88" s="162"/>
    </row>
    <row r="89" spans="1:8" ht="24" customHeight="1">
      <c r="A89" s="203"/>
      <c r="B89" s="205"/>
      <c r="C89" s="160" t="s">
        <v>613</v>
      </c>
      <c r="D89" s="160"/>
      <c r="E89" s="161"/>
      <c r="F89" s="162"/>
    </row>
    <row r="90" spans="1:8" ht="24" customHeight="1">
      <c r="A90" s="203"/>
      <c r="B90" s="204"/>
      <c r="C90" s="160" t="s">
        <v>614</v>
      </c>
      <c r="D90" s="160"/>
      <c r="E90" s="161"/>
      <c r="F90" s="162"/>
    </row>
    <row r="91" spans="1:8" s="104" customFormat="1" ht="24" customHeight="1">
      <c r="A91" s="203"/>
      <c r="B91" s="204"/>
      <c r="C91" s="160" t="s">
        <v>615</v>
      </c>
      <c r="D91" s="160"/>
      <c r="E91" s="161"/>
      <c r="F91" s="162"/>
    </row>
    <row r="92" spans="1:8" ht="24" customHeight="1">
      <c r="A92" s="206"/>
      <c r="B92" s="207"/>
      <c r="C92" s="165"/>
      <c r="D92" s="165"/>
      <c r="E92" s="166"/>
      <c r="F92" s="167"/>
    </row>
    <row r="93" spans="1:8" s="57" customFormat="1" ht="24.95" customHeight="1">
      <c r="A93" s="150"/>
      <c r="B93" s="68"/>
      <c r="C93" s="56"/>
      <c r="D93" s="56"/>
      <c r="E93" s="134"/>
    </row>
    <row r="94" spans="1:8" ht="24" customHeight="1">
      <c r="A94" s="379" t="s">
        <v>699</v>
      </c>
      <c r="B94" s="379"/>
      <c r="C94" s="379"/>
      <c r="D94" s="379"/>
      <c r="E94" s="379"/>
      <c r="F94" s="379"/>
    </row>
    <row r="95" spans="1:8" ht="24" customHeight="1">
      <c r="A95" s="40" t="s">
        <v>41</v>
      </c>
      <c r="B95" s="40" t="s">
        <v>619</v>
      </c>
      <c r="C95" s="40" t="s">
        <v>620</v>
      </c>
      <c r="D95" s="40" t="s">
        <v>605</v>
      </c>
      <c r="E95" s="137" t="s">
        <v>31</v>
      </c>
      <c r="F95" s="40" t="s">
        <v>396</v>
      </c>
    </row>
    <row r="96" spans="1:8" ht="24" customHeight="1">
      <c r="A96" s="41" t="s">
        <v>40</v>
      </c>
      <c r="B96" s="41"/>
      <c r="C96" s="41"/>
      <c r="D96" s="41" t="s">
        <v>606</v>
      </c>
      <c r="E96" s="129"/>
      <c r="F96" s="42"/>
      <c r="H96" s="54"/>
    </row>
    <row r="97" spans="1:8" ht="24" customHeight="1">
      <c r="A97" s="154"/>
      <c r="B97" s="208" t="s">
        <v>24</v>
      </c>
      <c r="C97" s="155"/>
      <c r="D97" s="222"/>
      <c r="E97" s="209">
        <f>SUM(E99:E115)</f>
        <v>5400000</v>
      </c>
      <c r="F97" s="157"/>
      <c r="H97" s="64" t="s">
        <v>312</v>
      </c>
    </row>
    <row r="98" spans="1:8" s="104" customFormat="1" ht="24" customHeight="1">
      <c r="A98" s="285"/>
      <c r="B98" s="352" t="s">
        <v>1306</v>
      </c>
      <c r="C98" s="292"/>
      <c r="D98" s="351"/>
      <c r="E98" s="360">
        <f>SUM(E97)</f>
        <v>5400000</v>
      </c>
      <c r="F98" s="286"/>
      <c r="H98" s="64"/>
    </row>
    <row r="99" spans="1:8" ht="24" customHeight="1">
      <c r="A99" s="223">
        <v>1</v>
      </c>
      <c r="B99" s="175" t="s">
        <v>616</v>
      </c>
      <c r="C99" s="175" t="s">
        <v>621</v>
      </c>
      <c r="D99" s="160" t="s">
        <v>564</v>
      </c>
      <c r="E99" s="214">
        <v>1500000</v>
      </c>
      <c r="F99" s="162" t="s">
        <v>398</v>
      </c>
      <c r="G99" s="56"/>
      <c r="H99" s="104"/>
    </row>
    <row r="100" spans="1:8" ht="24" customHeight="1">
      <c r="A100" s="210"/>
      <c r="B100" s="175" t="s">
        <v>617</v>
      </c>
      <c r="C100" s="175" t="s">
        <v>1321</v>
      </c>
      <c r="D100" s="160" t="s">
        <v>37</v>
      </c>
      <c r="E100" s="176"/>
      <c r="F100" s="160" t="s">
        <v>618</v>
      </c>
      <c r="H100" s="104"/>
    </row>
    <row r="101" spans="1:8" s="104" customFormat="1" ht="24" customHeight="1">
      <c r="A101" s="210"/>
      <c r="B101" s="175" t="s">
        <v>223</v>
      </c>
      <c r="C101" s="175" t="s">
        <v>622</v>
      </c>
      <c r="D101" s="160"/>
      <c r="E101" s="176"/>
      <c r="F101" s="160"/>
    </row>
    <row r="102" spans="1:8" ht="24" customHeight="1">
      <c r="A102" s="210"/>
      <c r="B102" s="175"/>
      <c r="C102" s="175" t="s">
        <v>1381</v>
      </c>
      <c r="D102" s="212"/>
      <c r="E102" s="211"/>
      <c r="F102" s="162"/>
    </row>
    <row r="103" spans="1:8" ht="24" customHeight="1">
      <c r="A103" s="158"/>
      <c r="B103" s="192"/>
      <c r="C103" s="175" t="s">
        <v>1382</v>
      </c>
      <c r="D103" s="160"/>
      <c r="E103" s="161"/>
      <c r="F103" s="160"/>
    </row>
    <row r="104" spans="1:8" ht="24" customHeight="1">
      <c r="A104" s="158"/>
      <c r="B104" s="192"/>
      <c r="C104" s="217" t="s">
        <v>623</v>
      </c>
      <c r="D104" s="160"/>
      <c r="E104" s="161"/>
      <c r="F104" s="160"/>
    </row>
    <row r="105" spans="1:8" ht="24" customHeight="1">
      <c r="A105" s="158"/>
      <c r="B105" s="192"/>
      <c r="C105" s="217" t="s">
        <v>624</v>
      </c>
      <c r="D105" s="160"/>
      <c r="E105" s="161"/>
      <c r="F105" s="162"/>
      <c r="H105" s="104"/>
    </row>
    <row r="106" spans="1:8" ht="24" customHeight="1">
      <c r="A106" s="158"/>
      <c r="B106" s="192"/>
      <c r="C106" s="217" t="s">
        <v>386</v>
      </c>
      <c r="D106" s="160"/>
      <c r="E106" s="161"/>
      <c r="F106" s="162"/>
      <c r="H106" s="78"/>
    </row>
    <row r="107" spans="1:8" ht="24" customHeight="1">
      <c r="A107" s="163"/>
      <c r="B107" s="164"/>
      <c r="C107" s="221"/>
      <c r="D107" s="165"/>
      <c r="E107" s="166"/>
      <c r="F107" s="167"/>
      <c r="H107" s="78"/>
    </row>
    <row r="108" spans="1:8" ht="24" customHeight="1">
      <c r="A108" s="223">
        <v>2</v>
      </c>
      <c r="B108" s="200" t="s">
        <v>625</v>
      </c>
      <c r="C108" s="220" t="s">
        <v>627</v>
      </c>
      <c r="D108" s="197" t="s">
        <v>631</v>
      </c>
      <c r="E108" s="201">
        <v>3900000</v>
      </c>
      <c r="F108" s="162" t="s">
        <v>398</v>
      </c>
    </row>
    <row r="109" spans="1:8" ht="24" customHeight="1">
      <c r="A109" s="158"/>
      <c r="B109" s="192" t="s">
        <v>626</v>
      </c>
      <c r="C109" s="175" t="s">
        <v>628</v>
      </c>
      <c r="D109" s="160" t="s">
        <v>632</v>
      </c>
      <c r="E109" s="161"/>
      <c r="F109" s="160" t="s">
        <v>618</v>
      </c>
      <c r="H109" s="64"/>
    </row>
    <row r="110" spans="1:8" ht="24" customHeight="1">
      <c r="A110" s="248"/>
      <c r="B110" s="249"/>
      <c r="C110" s="244" t="s">
        <v>629</v>
      </c>
      <c r="D110" s="234" t="s">
        <v>635</v>
      </c>
      <c r="E110" s="250"/>
      <c r="F110" s="234"/>
      <c r="H110" s="64"/>
    </row>
    <row r="111" spans="1:8" s="104" customFormat="1" ht="24" customHeight="1">
      <c r="A111" s="177"/>
      <c r="B111" s="171"/>
      <c r="C111" s="218" t="s">
        <v>630</v>
      </c>
      <c r="D111" s="171"/>
      <c r="E111" s="173"/>
      <c r="F111" s="162"/>
      <c r="H111" s="54"/>
    </row>
    <row r="112" spans="1:8" s="104" customFormat="1" ht="24" customHeight="1">
      <c r="A112" s="171"/>
      <c r="B112" s="171"/>
      <c r="C112" s="218" t="s">
        <v>633</v>
      </c>
      <c r="D112" s="171"/>
      <c r="E112" s="173"/>
      <c r="F112" s="162"/>
      <c r="H112" s="54"/>
    </row>
    <row r="113" spans="1:8" s="104" customFormat="1" ht="24" customHeight="1">
      <c r="A113" s="171"/>
      <c r="B113" s="171"/>
      <c r="C113" s="218" t="s">
        <v>634</v>
      </c>
      <c r="D113" s="171"/>
      <c r="E113" s="173"/>
      <c r="F113" s="162"/>
      <c r="H113" s="152"/>
    </row>
    <row r="114" spans="1:8" s="104" customFormat="1" ht="24" customHeight="1">
      <c r="A114" s="171"/>
      <c r="B114" s="171"/>
      <c r="C114" s="218" t="s">
        <v>247</v>
      </c>
      <c r="D114" s="171"/>
      <c r="E114" s="173"/>
      <c r="F114" s="162"/>
      <c r="H114" s="54"/>
    </row>
    <row r="115" spans="1:8" s="104" customFormat="1" ht="24" customHeight="1">
      <c r="A115" s="182"/>
      <c r="B115" s="182"/>
      <c r="C115" s="219"/>
      <c r="D115" s="182"/>
      <c r="E115" s="225"/>
      <c r="F115" s="167"/>
      <c r="H115" s="54"/>
    </row>
    <row r="116" spans="1:8" ht="24" customHeight="1">
      <c r="A116" s="157"/>
      <c r="B116" s="170" t="s">
        <v>226</v>
      </c>
      <c r="C116" s="227"/>
      <c r="D116" s="227"/>
      <c r="E116" s="228">
        <f>SUM(E117)</f>
        <v>4940000</v>
      </c>
      <c r="F116" s="157"/>
      <c r="G116" s="56"/>
      <c r="H116" s="57"/>
    </row>
    <row r="117" spans="1:8" ht="24" customHeight="1">
      <c r="A117" s="162"/>
      <c r="B117" s="172" t="s">
        <v>23</v>
      </c>
      <c r="C117" s="162"/>
      <c r="D117" s="162"/>
      <c r="E117" s="173">
        <f>SUM(E118:E123,E129:E153,E159:E185,E191:E216)</f>
        <v>4940000</v>
      </c>
      <c r="F117" s="162"/>
    </row>
    <row r="118" spans="1:8" ht="24" customHeight="1">
      <c r="A118" s="226">
        <v>1</v>
      </c>
      <c r="B118" s="192" t="s">
        <v>313</v>
      </c>
      <c r="C118" s="175" t="s">
        <v>314</v>
      </c>
      <c r="D118" s="217" t="s">
        <v>564</v>
      </c>
      <c r="E118" s="176">
        <v>200000</v>
      </c>
      <c r="F118" s="160" t="s">
        <v>397</v>
      </c>
    </row>
    <row r="119" spans="1:8" ht="24" customHeight="1">
      <c r="A119" s="158"/>
      <c r="B119" s="192" t="s">
        <v>523</v>
      </c>
      <c r="C119" s="175" t="s">
        <v>315</v>
      </c>
      <c r="D119" s="175" t="s">
        <v>638</v>
      </c>
      <c r="E119" s="176"/>
      <c r="F119" s="162"/>
    </row>
    <row r="120" spans="1:8" ht="24" customHeight="1">
      <c r="A120" s="158"/>
      <c r="B120" s="192" t="s">
        <v>524</v>
      </c>
      <c r="C120" s="175" t="s">
        <v>525</v>
      </c>
      <c r="D120" s="217" t="s">
        <v>608</v>
      </c>
      <c r="E120" s="176"/>
      <c r="F120" s="162"/>
    </row>
    <row r="121" spans="1:8" ht="24" customHeight="1">
      <c r="A121" s="158"/>
      <c r="B121" s="192"/>
      <c r="C121" s="175" t="s">
        <v>317</v>
      </c>
      <c r="D121" s="217" t="s">
        <v>609</v>
      </c>
      <c r="E121" s="176"/>
      <c r="F121" s="162"/>
    </row>
    <row r="122" spans="1:8" ht="24" customHeight="1">
      <c r="A122" s="158"/>
      <c r="B122" s="192"/>
      <c r="C122" s="175" t="s">
        <v>318</v>
      </c>
      <c r="D122" s="217"/>
      <c r="E122" s="176"/>
      <c r="F122" s="162"/>
    </row>
    <row r="123" spans="1:8" s="104" customFormat="1" ht="24" customHeight="1">
      <c r="A123" s="163"/>
      <c r="B123" s="164"/>
      <c r="C123" s="167"/>
      <c r="D123" s="167"/>
      <c r="E123" s="213"/>
      <c r="F123" s="167"/>
      <c r="H123" s="64"/>
    </row>
    <row r="124" spans="1:8" s="104" customFormat="1" ht="24" customHeight="1">
      <c r="A124" s="151"/>
      <c r="B124" s="68"/>
      <c r="C124" s="57"/>
      <c r="D124" s="57"/>
      <c r="E124" s="135"/>
      <c r="F124" s="57"/>
      <c r="H124" s="64"/>
    </row>
    <row r="125" spans="1:8" s="104" customFormat="1" ht="24" customHeight="1">
      <c r="A125" s="379" t="s">
        <v>700</v>
      </c>
      <c r="B125" s="379"/>
      <c r="C125" s="379"/>
      <c r="D125" s="379"/>
      <c r="E125" s="379"/>
      <c r="F125" s="379"/>
      <c r="H125" s="64"/>
    </row>
    <row r="126" spans="1:8" ht="24" customHeight="1">
      <c r="A126" s="379"/>
      <c r="B126" s="379"/>
      <c r="C126" s="379"/>
      <c r="D126" s="379"/>
      <c r="E126" s="379"/>
      <c r="F126" s="379"/>
      <c r="H126" s="64"/>
    </row>
    <row r="127" spans="1:8" ht="24" customHeight="1">
      <c r="A127" s="40" t="s">
        <v>41</v>
      </c>
      <c r="B127" s="40" t="s">
        <v>619</v>
      </c>
      <c r="C127" s="40" t="s">
        <v>620</v>
      </c>
      <c r="D127" s="40" t="s">
        <v>605</v>
      </c>
      <c r="E127" s="137" t="s">
        <v>31</v>
      </c>
      <c r="F127" s="40" t="s">
        <v>396</v>
      </c>
    </row>
    <row r="128" spans="1:8" ht="24" customHeight="1">
      <c r="A128" s="41" t="s">
        <v>40</v>
      </c>
      <c r="B128" s="41"/>
      <c r="C128" s="41"/>
      <c r="D128" s="41" t="s">
        <v>606</v>
      </c>
      <c r="E128" s="129"/>
      <c r="F128" s="42"/>
      <c r="H128" s="54"/>
    </row>
    <row r="129" spans="1:6" s="104" customFormat="1" ht="24" customHeight="1">
      <c r="A129" s="190">
        <v>2</v>
      </c>
      <c r="B129" s="168" t="s">
        <v>636</v>
      </c>
      <c r="C129" s="185" t="s">
        <v>639</v>
      </c>
      <c r="D129" s="191" t="s">
        <v>564</v>
      </c>
      <c r="E129" s="186">
        <v>600000</v>
      </c>
      <c r="F129" s="155" t="s">
        <v>397</v>
      </c>
    </row>
    <row r="130" spans="1:6" s="104" customFormat="1" ht="24" customHeight="1">
      <c r="A130" s="158"/>
      <c r="B130" s="192" t="s">
        <v>637</v>
      </c>
      <c r="C130" s="175" t="s">
        <v>640</v>
      </c>
      <c r="D130" s="175" t="s">
        <v>638</v>
      </c>
      <c r="E130" s="176"/>
      <c r="F130" s="162"/>
    </row>
    <row r="131" spans="1:6" s="104" customFormat="1" ht="24" customHeight="1">
      <c r="A131" s="158"/>
      <c r="B131" s="192"/>
      <c r="C131" s="175" t="s">
        <v>641</v>
      </c>
      <c r="D131" s="217" t="s">
        <v>608</v>
      </c>
      <c r="E131" s="176"/>
      <c r="F131" s="162"/>
    </row>
    <row r="132" spans="1:6" s="104" customFormat="1" ht="24" customHeight="1">
      <c r="A132" s="158"/>
      <c r="B132" s="192"/>
      <c r="C132" s="175" t="s">
        <v>528</v>
      </c>
      <c r="D132" s="217" t="s">
        <v>609</v>
      </c>
      <c r="E132" s="176"/>
      <c r="F132" s="162"/>
    </row>
    <row r="133" spans="1:6" s="104" customFormat="1" ht="24" customHeight="1">
      <c r="A133" s="158"/>
      <c r="B133" s="192"/>
      <c r="C133" s="175" t="s">
        <v>529</v>
      </c>
      <c r="D133" s="217"/>
      <c r="E133" s="176"/>
      <c r="F133" s="162"/>
    </row>
    <row r="134" spans="1:6" s="104" customFormat="1" ht="24" customHeight="1">
      <c r="A134" s="158"/>
      <c r="B134" s="192"/>
      <c r="C134" s="175" t="s">
        <v>530</v>
      </c>
      <c r="D134" s="217"/>
      <c r="E134" s="176"/>
      <c r="F134" s="162"/>
    </row>
    <row r="135" spans="1:6" s="104" customFormat="1" ht="24" customHeight="1">
      <c r="A135" s="158"/>
      <c r="B135" s="192"/>
      <c r="C135" s="175" t="s">
        <v>642</v>
      </c>
      <c r="D135" s="217"/>
      <c r="E135" s="176"/>
      <c r="F135" s="162"/>
    </row>
    <row r="136" spans="1:6" s="104" customFormat="1" ht="24" customHeight="1">
      <c r="A136" s="158"/>
      <c r="B136" s="192"/>
      <c r="C136" s="175" t="s">
        <v>318</v>
      </c>
      <c r="D136" s="217"/>
      <c r="E136" s="176"/>
      <c r="F136" s="162"/>
    </row>
    <row r="137" spans="1:6" s="104" customFormat="1" ht="24" customHeight="1">
      <c r="A137" s="163"/>
      <c r="B137" s="164"/>
      <c r="C137" s="181"/>
      <c r="D137" s="221"/>
      <c r="E137" s="183"/>
      <c r="F137" s="167"/>
    </row>
    <row r="138" spans="1:6" s="104" customFormat="1" ht="24" customHeight="1">
      <c r="A138" s="190">
        <v>3</v>
      </c>
      <c r="B138" s="168" t="s">
        <v>703</v>
      </c>
      <c r="C138" s="185" t="s">
        <v>707</v>
      </c>
      <c r="D138" s="191" t="s">
        <v>564</v>
      </c>
      <c r="E138" s="186">
        <v>80000</v>
      </c>
      <c r="F138" s="157" t="s">
        <v>706</v>
      </c>
    </row>
    <row r="139" spans="1:6" s="104" customFormat="1" ht="24" customHeight="1">
      <c r="A139" s="158"/>
      <c r="B139" s="192" t="s">
        <v>704</v>
      </c>
      <c r="C139" s="175" t="s">
        <v>709</v>
      </c>
      <c r="D139" s="217" t="s">
        <v>37</v>
      </c>
      <c r="E139" s="176"/>
      <c r="F139" s="162"/>
    </row>
    <row r="140" spans="1:6" s="104" customFormat="1" ht="24" customHeight="1">
      <c r="A140" s="158"/>
      <c r="B140" s="192" t="s">
        <v>705</v>
      </c>
      <c r="C140" s="175" t="s">
        <v>642</v>
      </c>
      <c r="D140" s="217"/>
      <c r="E140" s="176"/>
      <c r="F140" s="162"/>
    </row>
    <row r="141" spans="1:6" s="104" customFormat="1" ht="24" customHeight="1">
      <c r="A141" s="158"/>
      <c r="B141" s="192"/>
      <c r="C141" s="175" t="s">
        <v>708</v>
      </c>
      <c r="D141" s="217"/>
      <c r="E141" s="176"/>
      <c r="F141" s="162"/>
    </row>
    <row r="142" spans="1:6" s="104" customFormat="1" ht="24" customHeight="1">
      <c r="A142" s="158"/>
      <c r="B142" s="192"/>
      <c r="C142" s="175" t="s">
        <v>550</v>
      </c>
      <c r="D142" s="217"/>
      <c r="E142" s="176"/>
      <c r="F142" s="162"/>
    </row>
    <row r="143" spans="1:6" s="104" customFormat="1" ht="24" customHeight="1">
      <c r="A143" s="163"/>
      <c r="B143" s="164"/>
      <c r="C143" s="181"/>
      <c r="D143" s="221"/>
      <c r="E143" s="183"/>
      <c r="F143" s="167"/>
    </row>
    <row r="144" spans="1:6" ht="24" customHeight="1">
      <c r="A144" s="190">
        <v>4</v>
      </c>
      <c r="B144" s="168" t="s">
        <v>248</v>
      </c>
      <c r="C144" s="185" t="s">
        <v>652</v>
      </c>
      <c r="D144" s="191" t="s">
        <v>564</v>
      </c>
      <c r="E144" s="186">
        <v>100000</v>
      </c>
      <c r="F144" s="155" t="s">
        <v>397</v>
      </c>
    </row>
    <row r="145" spans="1:8" ht="24" customHeight="1">
      <c r="A145" s="158"/>
      <c r="B145" s="192"/>
      <c r="C145" s="175" t="s">
        <v>653</v>
      </c>
      <c r="D145" s="175" t="s">
        <v>37</v>
      </c>
      <c r="E145" s="161"/>
      <c r="F145" s="162"/>
    </row>
    <row r="146" spans="1:8" ht="24" customHeight="1">
      <c r="A146" s="203"/>
      <c r="B146" s="204"/>
      <c r="C146" s="175" t="s">
        <v>654</v>
      </c>
      <c r="D146" s="175"/>
      <c r="E146" s="161"/>
      <c r="F146" s="162"/>
    </row>
    <row r="147" spans="1:8" ht="24" customHeight="1">
      <c r="A147" s="203"/>
      <c r="B147" s="204"/>
      <c r="C147" s="175" t="s">
        <v>655</v>
      </c>
      <c r="D147" s="175"/>
      <c r="E147" s="161"/>
      <c r="F147" s="162"/>
    </row>
    <row r="148" spans="1:8" ht="24" customHeight="1">
      <c r="A148" s="203"/>
      <c r="B148" s="204"/>
      <c r="C148" s="175" t="s">
        <v>656</v>
      </c>
      <c r="D148" s="175"/>
      <c r="E148" s="161"/>
      <c r="F148" s="162"/>
    </row>
    <row r="149" spans="1:8" ht="24" customHeight="1">
      <c r="A149" s="203"/>
      <c r="B149" s="204"/>
      <c r="C149" s="175" t="s">
        <v>657</v>
      </c>
      <c r="D149" s="175"/>
      <c r="E149" s="161"/>
      <c r="F149" s="162"/>
    </row>
    <row r="150" spans="1:8" s="104" customFormat="1" ht="24" customHeight="1">
      <c r="A150" s="203"/>
      <c r="B150" s="204"/>
      <c r="C150" s="175" t="s">
        <v>658</v>
      </c>
      <c r="D150" s="175"/>
      <c r="E150" s="161"/>
      <c r="F150" s="162"/>
    </row>
    <row r="151" spans="1:8" s="104" customFormat="1" ht="24" customHeight="1">
      <c r="A151" s="203"/>
      <c r="B151" s="204"/>
      <c r="C151" s="175" t="s">
        <v>659</v>
      </c>
      <c r="D151" s="175"/>
      <c r="E151" s="161"/>
      <c r="F151" s="162"/>
    </row>
    <row r="152" spans="1:8" s="104" customFormat="1" ht="24" customHeight="1">
      <c r="A152" s="203"/>
      <c r="B152" s="204"/>
      <c r="C152" s="175" t="s">
        <v>660</v>
      </c>
      <c r="D152" s="175"/>
      <c r="E152" s="161"/>
      <c r="F152" s="162"/>
    </row>
    <row r="153" spans="1:8" ht="24" customHeight="1">
      <c r="A153" s="163"/>
      <c r="B153" s="164"/>
      <c r="C153" s="165"/>
      <c r="D153" s="181"/>
      <c r="E153" s="166"/>
      <c r="F153" s="167"/>
    </row>
    <row r="154" spans="1:8" ht="24" customHeight="1">
      <c r="A154" s="48"/>
      <c r="B154" s="69"/>
      <c r="C154" s="50"/>
      <c r="D154" s="50"/>
      <c r="E154" s="143"/>
      <c r="F154" s="52"/>
    </row>
    <row r="155" spans="1:8" s="104" customFormat="1" ht="24" customHeight="1">
      <c r="A155" s="151"/>
      <c r="B155" s="68"/>
      <c r="C155" s="55"/>
      <c r="D155" s="55"/>
      <c r="E155" s="145"/>
      <c r="F155" s="57"/>
    </row>
    <row r="156" spans="1:8" ht="24" customHeight="1">
      <c r="A156" s="379" t="s">
        <v>701</v>
      </c>
      <c r="B156" s="379"/>
      <c r="C156" s="379"/>
      <c r="D156" s="379"/>
      <c r="E156" s="379"/>
      <c r="F156" s="379"/>
    </row>
    <row r="157" spans="1:8" ht="24" customHeight="1">
      <c r="A157" s="40" t="s">
        <v>41</v>
      </c>
      <c r="B157" s="40" t="s">
        <v>619</v>
      </c>
      <c r="C157" s="40" t="s">
        <v>620</v>
      </c>
      <c r="D157" s="40" t="s">
        <v>605</v>
      </c>
      <c r="E157" s="137" t="s">
        <v>31</v>
      </c>
      <c r="F157" s="40" t="s">
        <v>396</v>
      </c>
    </row>
    <row r="158" spans="1:8" ht="24" customHeight="1">
      <c r="A158" s="41" t="s">
        <v>40</v>
      </c>
      <c r="B158" s="41"/>
      <c r="C158" s="41"/>
      <c r="D158" s="41" t="s">
        <v>606</v>
      </c>
      <c r="E158" s="129"/>
      <c r="F158" s="42"/>
      <c r="H158" s="54"/>
    </row>
    <row r="159" spans="1:8" ht="24" customHeight="1">
      <c r="A159" s="190">
        <v>5</v>
      </c>
      <c r="B159" s="168" t="s">
        <v>644</v>
      </c>
      <c r="C159" s="185" t="s">
        <v>646</v>
      </c>
      <c r="D159" s="191" t="s">
        <v>564</v>
      </c>
      <c r="E159" s="156">
        <v>500000</v>
      </c>
      <c r="F159" s="155" t="s">
        <v>397</v>
      </c>
      <c r="H159" s="104"/>
    </row>
    <row r="160" spans="1:8" ht="24" customHeight="1">
      <c r="A160" s="158"/>
      <c r="B160" s="192" t="s">
        <v>645</v>
      </c>
      <c r="C160" s="175" t="s">
        <v>647</v>
      </c>
      <c r="D160" s="175" t="s">
        <v>638</v>
      </c>
      <c r="E160" s="161"/>
      <c r="F160" s="162"/>
    </row>
    <row r="161" spans="1:9" ht="24" customHeight="1">
      <c r="A161" s="158"/>
      <c r="B161" s="159"/>
      <c r="C161" s="175" t="s">
        <v>648</v>
      </c>
      <c r="D161" s="217" t="s">
        <v>608</v>
      </c>
      <c r="E161" s="161"/>
      <c r="F161" s="162"/>
    </row>
    <row r="162" spans="1:9" ht="24" customHeight="1">
      <c r="A162" s="248"/>
      <c r="B162" s="251"/>
      <c r="C162" s="231" t="s">
        <v>649</v>
      </c>
      <c r="D162" s="232" t="s">
        <v>609</v>
      </c>
      <c r="E162" s="233"/>
      <c r="F162" s="234"/>
    </row>
    <row r="163" spans="1:9" s="104" customFormat="1" ht="24" customHeight="1">
      <c r="A163" s="171"/>
      <c r="B163" s="171"/>
      <c r="C163" s="218" t="s">
        <v>650</v>
      </c>
      <c r="D163" s="229"/>
      <c r="E163" s="173"/>
      <c r="F163" s="162"/>
      <c r="H163" s="54"/>
    </row>
    <row r="164" spans="1:9" s="104" customFormat="1" ht="24" customHeight="1">
      <c r="A164" s="171"/>
      <c r="B164" s="171"/>
      <c r="C164" s="218" t="s">
        <v>651</v>
      </c>
      <c r="D164" s="229"/>
      <c r="E164" s="173"/>
      <c r="F164" s="162"/>
      <c r="H164" s="54"/>
    </row>
    <row r="165" spans="1:9" ht="24" customHeight="1">
      <c r="A165" s="163"/>
      <c r="B165" s="194"/>
      <c r="C165" s="181"/>
      <c r="D165" s="181"/>
      <c r="E165" s="166"/>
      <c r="F165" s="167"/>
    </row>
    <row r="166" spans="1:9" ht="24" customHeight="1">
      <c r="A166" s="190">
        <v>6</v>
      </c>
      <c r="B166" s="168" t="s">
        <v>399</v>
      </c>
      <c r="C166" s="185" t="s">
        <v>661</v>
      </c>
      <c r="D166" s="191" t="s">
        <v>564</v>
      </c>
      <c r="E166" s="156">
        <v>100000</v>
      </c>
      <c r="F166" s="155" t="s">
        <v>397</v>
      </c>
      <c r="H166" s="35"/>
      <c r="I166"/>
    </row>
    <row r="167" spans="1:9" ht="24" customHeight="1">
      <c r="A167" s="203"/>
      <c r="B167" s="192" t="s">
        <v>400</v>
      </c>
      <c r="C167" s="175" t="s">
        <v>662</v>
      </c>
      <c r="D167" s="175" t="s">
        <v>37</v>
      </c>
      <c r="E167" s="161"/>
      <c r="F167" s="162"/>
      <c r="H167" s="35" t="s">
        <v>379</v>
      </c>
      <c r="I167" s="35"/>
    </row>
    <row r="168" spans="1:9" ht="24" customHeight="1">
      <c r="A168" s="203"/>
      <c r="B168" s="192" t="s">
        <v>401</v>
      </c>
      <c r="C168" s="175" t="s">
        <v>663</v>
      </c>
      <c r="D168" s="217"/>
      <c r="E168" s="161"/>
      <c r="F168" s="162"/>
      <c r="H168" s="1"/>
      <c r="I168"/>
    </row>
    <row r="169" spans="1:9" ht="24" customHeight="1">
      <c r="A169" s="203"/>
      <c r="B169" s="204"/>
      <c r="C169" s="175" t="s">
        <v>526</v>
      </c>
      <c r="D169" s="217"/>
      <c r="E169" s="161"/>
      <c r="F169" s="162"/>
    </row>
    <row r="170" spans="1:9" ht="24" customHeight="1">
      <c r="A170" s="203"/>
      <c r="B170" s="204"/>
      <c r="C170" s="175" t="s">
        <v>527</v>
      </c>
      <c r="D170" s="217"/>
      <c r="E170" s="161"/>
      <c r="F170" s="162"/>
    </row>
    <row r="171" spans="1:9" ht="24" customHeight="1">
      <c r="A171" s="206"/>
      <c r="B171" s="207"/>
      <c r="C171" s="181"/>
      <c r="D171" s="181"/>
      <c r="E171" s="166"/>
      <c r="F171" s="167"/>
    </row>
    <row r="172" spans="1:9" ht="24" customHeight="1">
      <c r="A172" s="190">
        <v>7</v>
      </c>
      <c r="B172" s="168" t="s">
        <v>531</v>
      </c>
      <c r="C172" s="185" t="s">
        <v>665</v>
      </c>
      <c r="D172" s="191" t="s">
        <v>564</v>
      </c>
      <c r="E172" s="156">
        <v>300000</v>
      </c>
      <c r="F172" s="155" t="s">
        <v>397</v>
      </c>
    </row>
    <row r="173" spans="1:9" ht="24" customHeight="1">
      <c r="A173" s="158"/>
      <c r="B173" s="192" t="s">
        <v>532</v>
      </c>
      <c r="C173" s="175" t="s">
        <v>664</v>
      </c>
      <c r="D173" s="175" t="s">
        <v>638</v>
      </c>
      <c r="E173" s="161"/>
      <c r="F173" s="162"/>
    </row>
    <row r="174" spans="1:9" ht="24" customHeight="1">
      <c r="A174" s="158"/>
      <c r="B174" s="192"/>
      <c r="C174" s="175" t="s">
        <v>316</v>
      </c>
      <c r="D174" s="217" t="s">
        <v>608</v>
      </c>
      <c r="E174" s="161"/>
      <c r="F174" s="162"/>
    </row>
    <row r="175" spans="1:9" ht="24" customHeight="1">
      <c r="A175" s="158"/>
      <c r="B175" s="192"/>
      <c r="C175" s="175" t="s">
        <v>666</v>
      </c>
      <c r="D175" s="217" t="s">
        <v>609</v>
      </c>
      <c r="E175" s="161"/>
      <c r="F175" s="162"/>
    </row>
    <row r="176" spans="1:9" ht="24" customHeight="1">
      <c r="A176" s="158"/>
      <c r="B176" s="192"/>
      <c r="C176" s="175" t="s">
        <v>667</v>
      </c>
      <c r="D176" s="175"/>
      <c r="E176" s="161"/>
      <c r="F176" s="162"/>
    </row>
    <row r="177" spans="1:8" ht="24" customHeight="1">
      <c r="A177" s="158"/>
      <c r="B177" s="192"/>
      <c r="C177" s="175" t="s">
        <v>549</v>
      </c>
      <c r="D177" s="175"/>
      <c r="E177" s="161"/>
      <c r="F177" s="162"/>
    </row>
    <row r="178" spans="1:8" s="104" customFormat="1" ht="24" customHeight="1">
      <c r="A178" s="158"/>
      <c r="B178" s="192"/>
      <c r="C178" s="175" t="s">
        <v>550</v>
      </c>
      <c r="D178" s="175"/>
      <c r="E178" s="161"/>
      <c r="F178" s="162"/>
    </row>
    <row r="179" spans="1:8" ht="24" customHeight="1">
      <c r="A179" s="163"/>
      <c r="B179" s="164"/>
      <c r="C179" s="181"/>
      <c r="D179" s="181"/>
      <c r="E179" s="166"/>
      <c r="F179" s="167"/>
    </row>
    <row r="180" spans="1:8" s="104" customFormat="1" ht="24" customHeight="1">
      <c r="A180" s="190">
        <v>8</v>
      </c>
      <c r="B180" s="168" t="s">
        <v>668</v>
      </c>
      <c r="C180" s="185" t="s">
        <v>670</v>
      </c>
      <c r="D180" s="191" t="s">
        <v>564</v>
      </c>
      <c r="E180" s="156">
        <v>60000</v>
      </c>
      <c r="F180" s="157" t="s">
        <v>397</v>
      </c>
    </row>
    <row r="181" spans="1:8" s="104" customFormat="1" ht="24" customHeight="1">
      <c r="A181" s="158"/>
      <c r="B181" s="192" t="s">
        <v>669</v>
      </c>
      <c r="C181" s="175" t="s">
        <v>671</v>
      </c>
      <c r="D181" s="175" t="s">
        <v>37</v>
      </c>
      <c r="E181" s="161"/>
      <c r="F181" s="162"/>
    </row>
    <row r="182" spans="1:8" s="104" customFormat="1" ht="24" customHeight="1">
      <c r="A182" s="158"/>
      <c r="B182" s="192"/>
      <c r="C182" s="175" t="s">
        <v>672</v>
      </c>
      <c r="D182" s="217"/>
      <c r="E182" s="161"/>
      <c r="F182" s="162"/>
    </row>
    <row r="183" spans="1:8" s="104" customFormat="1" ht="24" customHeight="1">
      <c r="A183" s="158"/>
      <c r="B183" s="192"/>
      <c r="C183" s="175" t="s">
        <v>673</v>
      </c>
      <c r="D183" s="217"/>
      <c r="E183" s="161"/>
      <c r="F183" s="162"/>
    </row>
    <row r="184" spans="1:8" s="104" customFormat="1" ht="24" customHeight="1">
      <c r="A184" s="158"/>
      <c r="B184" s="192"/>
      <c r="C184" s="175" t="s">
        <v>533</v>
      </c>
      <c r="D184" s="217"/>
      <c r="E184" s="161"/>
      <c r="F184" s="162"/>
    </row>
    <row r="185" spans="1:8" s="104" customFormat="1" ht="24" customHeight="1">
      <c r="A185" s="163"/>
      <c r="B185" s="164"/>
      <c r="C185" s="181"/>
      <c r="D185" s="221"/>
      <c r="E185" s="166"/>
      <c r="F185" s="167"/>
    </row>
    <row r="186" spans="1:8" s="52" customFormat="1" ht="24.95" customHeight="1">
      <c r="A186" s="48"/>
      <c r="B186" s="69"/>
      <c r="C186" s="50"/>
      <c r="D186" s="50"/>
      <c r="E186" s="131"/>
    </row>
    <row r="187" spans="1:8" ht="24" customHeight="1">
      <c r="A187" s="379" t="s">
        <v>702</v>
      </c>
      <c r="B187" s="379"/>
      <c r="C187" s="379"/>
      <c r="D187" s="379"/>
      <c r="E187" s="379"/>
      <c r="F187" s="379"/>
    </row>
    <row r="188" spans="1:8" ht="24" customHeight="1">
      <c r="A188" s="70"/>
      <c r="B188" s="70"/>
      <c r="C188" s="70"/>
      <c r="D188" s="70"/>
      <c r="E188" s="136"/>
      <c r="F188" s="72"/>
    </row>
    <row r="189" spans="1:8" ht="24" customHeight="1">
      <c r="A189" s="40" t="s">
        <v>41</v>
      </c>
      <c r="B189" s="40" t="s">
        <v>619</v>
      </c>
      <c r="C189" s="40" t="s">
        <v>620</v>
      </c>
      <c r="D189" s="40" t="s">
        <v>605</v>
      </c>
      <c r="E189" s="137" t="s">
        <v>31</v>
      </c>
      <c r="F189" s="40" t="s">
        <v>396</v>
      </c>
    </row>
    <row r="190" spans="1:8" ht="24" customHeight="1">
      <c r="A190" s="41" t="s">
        <v>40</v>
      </c>
      <c r="B190" s="41"/>
      <c r="C190" s="41"/>
      <c r="D190" s="41" t="s">
        <v>606</v>
      </c>
      <c r="E190" s="129"/>
      <c r="F190" s="42"/>
      <c r="H190" s="54"/>
    </row>
    <row r="191" spans="1:8" s="104" customFormat="1" ht="24" customHeight="1">
      <c r="A191" s="190">
        <v>9</v>
      </c>
      <c r="B191" s="168" t="s">
        <v>674</v>
      </c>
      <c r="C191" s="185" t="s">
        <v>710</v>
      </c>
      <c r="D191" s="191" t="s">
        <v>564</v>
      </c>
      <c r="E191" s="156">
        <v>2000000</v>
      </c>
      <c r="F191" s="157" t="s">
        <v>397</v>
      </c>
    </row>
    <row r="192" spans="1:8" s="104" customFormat="1" ht="24" customHeight="1">
      <c r="A192" s="158"/>
      <c r="B192" s="192" t="s">
        <v>675</v>
      </c>
      <c r="C192" s="175" t="s">
        <v>677</v>
      </c>
      <c r="D192" s="175" t="s">
        <v>638</v>
      </c>
      <c r="E192" s="161"/>
      <c r="F192" s="162"/>
    </row>
    <row r="193" spans="1:13" s="104" customFormat="1" ht="24" customHeight="1">
      <c r="A193" s="158"/>
      <c r="B193" s="192" t="s">
        <v>676</v>
      </c>
      <c r="C193" s="175" t="s">
        <v>678</v>
      </c>
      <c r="D193" s="217" t="s">
        <v>608</v>
      </c>
      <c r="E193" s="161"/>
      <c r="F193" s="162"/>
    </row>
    <row r="194" spans="1:13" s="104" customFormat="1" ht="24" customHeight="1">
      <c r="A194" s="158"/>
      <c r="B194" s="192"/>
      <c r="C194" s="175" t="s">
        <v>679</v>
      </c>
      <c r="D194" s="217" t="s">
        <v>609</v>
      </c>
      <c r="E194" s="161"/>
      <c r="F194" s="162"/>
    </row>
    <row r="195" spans="1:13" s="104" customFormat="1" ht="24" customHeight="1">
      <c r="A195" s="158"/>
      <c r="B195" s="192"/>
      <c r="C195" s="175" t="s">
        <v>681</v>
      </c>
      <c r="D195" s="217"/>
      <c r="E195" s="161"/>
      <c r="F195" s="162"/>
    </row>
    <row r="196" spans="1:13" s="104" customFormat="1" ht="24" customHeight="1">
      <c r="A196" s="158"/>
      <c r="B196" s="192"/>
      <c r="C196" s="175" t="s">
        <v>682</v>
      </c>
      <c r="D196" s="217"/>
      <c r="E196" s="161"/>
      <c r="F196" s="162"/>
    </row>
    <row r="197" spans="1:13" s="104" customFormat="1" ht="24" customHeight="1">
      <c r="A197" s="158"/>
      <c r="B197" s="192"/>
      <c r="C197" s="175" t="s">
        <v>680</v>
      </c>
      <c r="D197" s="217"/>
      <c r="E197" s="161"/>
      <c r="F197" s="162"/>
    </row>
    <row r="198" spans="1:13" s="104" customFormat="1" ht="24" customHeight="1">
      <c r="A198" s="248"/>
      <c r="B198" s="249"/>
      <c r="C198" s="231" t="s">
        <v>550</v>
      </c>
      <c r="D198" s="232"/>
      <c r="E198" s="233"/>
      <c r="F198" s="234"/>
    </row>
    <row r="199" spans="1:13" s="104" customFormat="1" ht="24" customHeight="1">
      <c r="A199" s="248"/>
      <c r="B199" s="249"/>
      <c r="C199" s="231" t="s">
        <v>711</v>
      </c>
      <c r="D199" s="232" t="s">
        <v>719</v>
      </c>
      <c r="E199" s="233">
        <v>500000</v>
      </c>
      <c r="F199" s="234" t="s">
        <v>397</v>
      </c>
    </row>
    <row r="200" spans="1:13" s="104" customFormat="1" ht="24" customHeight="1">
      <c r="A200" s="248"/>
      <c r="B200" s="249"/>
      <c r="C200" s="231" t="s">
        <v>713</v>
      </c>
      <c r="D200" s="232" t="s">
        <v>18</v>
      </c>
      <c r="E200" s="233"/>
      <c r="F200" s="234"/>
    </row>
    <row r="201" spans="1:13" s="104" customFormat="1" ht="24" customHeight="1">
      <c r="A201" s="248"/>
      <c r="B201" s="249"/>
      <c r="C201" s="231" t="s">
        <v>714</v>
      </c>
      <c r="D201" s="232" t="s">
        <v>149</v>
      </c>
      <c r="E201" s="233"/>
      <c r="F201" s="234"/>
    </row>
    <row r="202" spans="1:13" s="104" customFormat="1" ht="24" customHeight="1">
      <c r="A202" s="248"/>
      <c r="B202" s="249"/>
      <c r="C202" s="231" t="s">
        <v>715</v>
      </c>
      <c r="D202" s="232"/>
      <c r="E202" s="233"/>
      <c r="F202" s="234"/>
    </row>
    <row r="203" spans="1:13" s="104" customFormat="1" ht="24" customHeight="1">
      <c r="A203" s="248"/>
      <c r="B203" s="249"/>
      <c r="C203" s="231" t="s">
        <v>716</v>
      </c>
      <c r="D203" s="232"/>
      <c r="E203" s="233"/>
      <c r="F203" s="234"/>
    </row>
    <row r="204" spans="1:13" s="104" customFormat="1" ht="24" customHeight="1">
      <c r="A204" s="248"/>
      <c r="B204" s="249"/>
      <c r="C204" s="231" t="s">
        <v>717</v>
      </c>
      <c r="D204" s="232"/>
      <c r="E204" s="233"/>
      <c r="F204" s="234"/>
    </row>
    <row r="205" spans="1:13" s="104" customFormat="1" ht="24" customHeight="1">
      <c r="A205" s="248"/>
      <c r="B205" s="249"/>
      <c r="C205" s="231" t="s">
        <v>718</v>
      </c>
      <c r="D205" s="232"/>
      <c r="E205" s="233"/>
      <c r="F205" s="234"/>
    </row>
    <row r="206" spans="1:13" s="104" customFormat="1" ht="24" customHeight="1">
      <c r="A206" s="163"/>
      <c r="B206" s="164"/>
      <c r="C206" s="181"/>
      <c r="D206" s="221"/>
      <c r="E206" s="166"/>
      <c r="F206" s="167"/>
    </row>
    <row r="207" spans="1:13" ht="24" customHeight="1">
      <c r="A207" s="190">
        <v>10</v>
      </c>
      <c r="B207" s="168" t="s">
        <v>534</v>
      </c>
      <c r="C207" s="185" t="s">
        <v>712</v>
      </c>
      <c r="D207" s="252" t="s">
        <v>402</v>
      </c>
      <c r="E207" s="156">
        <v>500000</v>
      </c>
      <c r="F207" s="155" t="s">
        <v>397</v>
      </c>
      <c r="H207" s="1"/>
      <c r="I207"/>
      <c r="J207"/>
      <c r="K207"/>
      <c r="L207"/>
      <c r="M207"/>
    </row>
    <row r="208" spans="1:13" ht="24" customHeight="1">
      <c r="A208" s="158"/>
      <c r="B208" s="192" t="s">
        <v>535</v>
      </c>
      <c r="C208" s="175" t="s">
        <v>536</v>
      </c>
      <c r="D208" s="175" t="s">
        <v>37</v>
      </c>
      <c r="E208" s="161"/>
      <c r="F208" s="162"/>
      <c r="H208"/>
      <c r="I208"/>
      <c r="J208"/>
      <c r="K208"/>
      <c r="L208"/>
      <c r="M208" s="1"/>
    </row>
    <row r="209" spans="1:13" ht="24" customHeight="1">
      <c r="A209" s="158"/>
      <c r="B209" s="192" t="s">
        <v>224</v>
      </c>
      <c r="C209" s="175" t="s">
        <v>537</v>
      </c>
      <c r="D209" s="175"/>
      <c r="E209" s="161"/>
      <c r="F209" s="162"/>
      <c r="H209" s="34"/>
      <c r="I209"/>
      <c r="J209"/>
      <c r="K209"/>
      <c r="L209"/>
      <c r="M209"/>
    </row>
    <row r="210" spans="1:13" ht="24" customHeight="1">
      <c r="A210" s="158"/>
      <c r="B210" s="192"/>
      <c r="C210" s="175" t="s">
        <v>538</v>
      </c>
      <c r="D210" s="175"/>
      <c r="E210" s="161"/>
      <c r="F210" s="162"/>
    </row>
    <row r="211" spans="1:13" ht="24" customHeight="1">
      <c r="A211" s="158"/>
      <c r="B211" s="192"/>
      <c r="C211" s="175" t="s">
        <v>539</v>
      </c>
      <c r="D211" s="175"/>
      <c r="E211" s="161"/>
      <c r="F211" s="162"/>
    </row>
    <row r="212" spans="1:13" ht="24" customHeight="1">
      <c r="A212" s="158"/>
      <c r="B212" s="192"/>
      <c r="C212" s="175" t="s">
        <v>540</v>
      </c>
      <c r="D212" s="175"/>
      <c r="E212" s="161"/>
      <c r="F212" s="162"/>
    </row>
    <row r="213" spans="1:13" ht="24" customHeight="1">
      <c r="A213" s="158"/>
      <c r="B213" s="192"/>
      <c r="C213" s="175" t="s">
        <v>541</v>
      </c>
      <c r="D213" s="175"/>
      <c r="E213" s="161"/>
      <c r="F213" s="162"/>
    </row>
    <row r="214" spans="1:13" s="104" customFormat="1" ht="24" customHeight="1">
      <c r="A214" s="158"/>
      <c r="B214" s="192"/>
      <c r="C214" s="175" t="s">
        <v>542</v>
      </c>
      <c r="D214" s="175"/>
      <c r="E214" s="161"/>
      <c r="F214" s="162"/>
    </row>
    <row r="215" spans="1:13" s="104" customFormat="1" ht="24" customHeight="1">
      <c r="A215" s="158"/>
      <c r="B215" s="192"/>
      <c r="C215" s="175" t="s">
        <v>224</v>
      </c>
      <c r="D215" s="175"/>
      <c r="E215" s="161"/>
      <c r="F215" s="162"/>
    </row>
    <row r="216" spans="1:13" ht="24" customHeight="1">
      <c r="A216" s="163"/>
      <c r="B216" s="164"/>
      <c r="C216" s="181"/>
      <c r="D216" s="181"/>
      <c r="E216" s="166"/>
      <c r="F216" s="167"/>
    </row>
    <row r="217" spans="1:13" ht="24" customHeight="1">
      <c r="A217" s="57"/>
      <c r="B217" s="71"/>
      <c r="C217" s="56"/>
      <c r="D217" s="57"/>
      <c r="E217" s="138"/>
      <c r="F217" s="57"/>
      <c r="G217" s="56"/>
      <c r="H217" s="57"/>
    </row>
    <row r="218" spans="1:13" ht="24" customHeight="1">
      <c r="A218" s="379" t="s">
        <v>720</v>
      </c>
      <c r="B218" s="379"/>
      <c r="C218" s="379"/>
      <c r="D218" s="379"/>
      <c r="E218" s="379"/>
      <c r="F218" s="379"/>
    </row>
    <row r="219" spans="1:13" ht="24" customHeight="1">
      <c r="A219" s="70"/>
      <c r="B219" s="70"/>
      <c r="C219" s="70"/>
      <c r="D219" s="70"/>
      <c r="E219" s="136"/>
      <c r="F219" s="72"/>
    </row>
    <row r="220" spans="1:13" ht="24" customHeight="1">
      <c r="A220" s="40" t="s">
        <v>41</v>
      </c>
      <c r="B220" s="40" t="s">
        <v>619</v>
      </c>
      <c r="C220" s="40" t="s">
        <v>620</v>
      </c>
      <c r="D220" s="40" t="s">
        <v>605</v>
      </c>
      <c r="E220" s="137" t="s">
        <v>31</v>
      </c>
      <c r="F220" s="40" t="s">
        <v>396</v>
      </c>
    </row>
    <row r="221" spans="1:13" ht="24" customHeight="1">
      <c r="A221" s="41" t="s">
        <v>40</v>
      </c>
      <c r="B221" s="41"/>
      <c r="C221" s="41"/>
      <c r="D221" s="41" t="s">
        <v>606</v>
      </c>
      <c r="E221" s="129"/>
      <c r="F221" s="42"/>
      <c r="H221" s="54"/>
    </row>
    <row r="222" spans="1:13" ht="24" customHeight="1">
      <c r="A222" s="157"/>
      <c r="B222" s="170" t="s">
        <v>227</v>
      </c>
      <c r="C222" s="227"/>
      <c r="D222" s="227"/>
      <c r="E222" s="228">
        <f>SUM(E223,E234)</f>
        <v>1850000</v>
      </c>
      <c r="F222" s="157"/>
      <c r="G222" s="56"/>
      <c r="H222" s="57"/>
    </row>
    <row r="223" spans="1:13" ht="24" customHeight="1">
      <c r="A223" s="162"/>
      <c r="B223" s="172" t="s">
        <v>23</v>
      </c>
      <c r="C223" s="162"/>
      <c r="D223" s="162"/>
      <c r="E223" s="173">
        <f>SUM(E224:E233)</f>
        <v>150000</v>
      </c>
      <c r="F223" s="162"/>
      <c r="G223" s="56"/>
      <c r="H223" s="57"/>
    </row>
    <row r="224" spans="1:13" ht="24" customHeight="1">
      <c r="A224" s="174">
        <v>1</v>
      </c>
      <c r="B224" s="217" t="s">
        <v>319</v>
      </c>
      <c r="C224" s="160" t="s">
        <v>543</v>
      </c>
      <c r="D224" s="160" t="s">
        <v>564</v>
      </c>
      <c r="E224" s="202">
        <v>150000</v>
      </c>
      <c r="F224" s="160" t="s">
        <v>397</v>
      </c>
      <c r="G224" s="56"/>
      <c r="H224" s="57"/>
    </row>
    <row r="225" spans="1:8" ht="24" customHeight="1">
      <c r="A225" s="162"/>
      <c r="B225" s="172"/>
      <c r="C225" s="160" t="s">
        <v>544</v>
      </c>
      <c r="D225" s="160" t="s">
        <v>638</v>
      </c>
      <c r="E225" s="173"/>
      <c r="F225" s="162"/>
      <c r="G225" s="56"/>
      <c r="H225" s="57"/>
    </row>
    <row r="226" spans="1:8" ht="24" customHeight="1">
      <c r="A226" s="162"/>
      <c r="B226" s="172"/>
      <c r="C226" s="160" t="s">
        <v>545</v>
      </c>
      <c r="D226" s="162" t="s">
        <v>608</v>
      </c>
      <c r="E226" s="173"/>
      <c r="F226" s="162"/>
      <c r="G226" s="56"/>
      <c r="H226" s="57"/>
    </row>
    <row r="227" spans="1:8" ht="24" customHeight="1">
      <c r="A227" s="162"/>
      <c r="B227" s="172"/>
      <c r="C227" s="160" t="s">
        <v>546</v>
      </c>
      <c r="D227" s="162" t="s">
        <v>609</v>
      </c>
      <c r="E227" s="173"/>
      <c r="F227" s="162"/>
      <c r="G227" s="56"/>
      <c r="H227" s="57"/>
    </row>
    <row r="228" spans="1:8" ht="24" customHeight="1">
      <c r="A228" s="162"/>
      <c r="B228" s="172"/>
      <c r="C228" s="160" t="s">
        <v>547</v>
      </c>
      <c r="D228" s="162"/>
      <c r="E228" s="173"/>
      <c r="F228" s="162"/>
      <c r="G228" s="56"/>
      <c r="H228" s="57"/>
    </row>
    <row r="229" spans="1:8" ht="24" customHeight="1">
      <c r="A229" s="162"/>
      <c r="B229" s="172"/>
      <c r="C229" s="160" t="s">
        <v>551</v>
      </c>
      <c r="D229" s="162"/>
      <c r="E229" s="173"/>
      <c r="F229" s="162"/>
      <c r="G229" s="56"/>
      <c r="H229" s="57"/>
    </row>
    <row r="230" spans="1:8" ht="24" customHeight="1">
      <c r="A230" s="162"/>
      <c r="B230" s="172"/>
      <c r="C230" s="160" t="s">
        <v>548</v>
      </c>
      <c r="D230" s="162"/>
      <c r="E230" s="173"/>
      <c r="F230" s="162"/>
      <c r="G230" s="56"/>
      <c r="H230" s="57"/>
    </row>
    <row r="231" spans="1:8" ht="24" customHeight="1">
      <c r="A231" s="162"/>
      <c r="B231" s="172"/>
      <c r="C231" s="160" t="s">
        <v>549</v>
      </c>
      <c r="D231" s="162"/>
      <c r="E231" s="173"/>
      <c r="F231" s="162"/>
      <c r="G231" s="56"/>
      <c r="H231" s="57"/>
    </row>
    <row r="232" spans="1:8" s="104" customFormat="1" ht="24" customHeight="1">
      <c r="A232" s="162"/>
      <c r="B232" s="172"/>
      <c r="C232" s="160" t="s">
        <v>550</v>
      </c>
      <c r="D232" s="162"/>
      <c r="E232" s="173"/>
      <c r="F232" s="162"/>
      <c r="G232" s="56"/>
      <c r="H232" s="57"/>
    </row>
    <row r="233" spans="1:8" ht="24" customHeight="1">
      <c r="A233" s="167"/>
      <c r="B233" s="253"/>
      <c r="C233" s="165"/>
      <c r="D233" s="167"/>
      <c r="E233" s="225"/>
      <c r="F233" s="167"/>
      <c r="G233" s="56"/>
      <c r="H233" s="57"/>
    </row>
    <row r="234" spans="1:8" s="104" customFormat="1" ht="24" customHeight="1">
      <c r="A234" s="157"/>
      <c r="B234" s="353" t="s">
        <v>1307</v>
      </c>
      <c r="C234" s="155"/>
      <c r="D234" s="157"/>
      <c r="E234" s="209">
        <f>SUM(E236:E247)</f>
        <v>1700000</v>
      </c>
      <c r="F234" s="157"/>
      <c r="G234" s="56"/>
      <c r="H234" s="57"/>
    </row>
    <row r="235" spans="1:8" s="104" customFormat="1" ht="24" customHeight="1">
      <c r="A235" s="162"/>
      <c r="B235" s="354" t="s">
        <v>1308</v>
      </c>
      <c r="C235" s="160"/>
      <c r="D235" s="162"/>
      <c r="E235" s="361">
        <f>SUM(E234)</f>
        <v>1700000</v>
      </c>
      <c r="F235" s="162"/>
      <c r="G235" s="56"/>
      <c r="H235" s="57"/>
    </row>
    <row r="236" spans="1:8" ht="24" customHeight="1">
      <c r="A236" s="195">
        <v>1</v>
      </c>
      <c r="B236" s="220" t="s">
        <v>721</v>
      </c>
      <c r="C236" s="197" t="s">
        <v>722</v>
      </c>
      <c r="D236" s="197" t="s">
        <v>731</v>
      </c>
      <c r="E236" s="318">
        <v>1700000</v>
      </c>
      <c r="F236" s="197" t="s">
        <v>397</v>
      </c>
      <c r="G236" s="56"/>
      <c r="H236" s="74"/>
    </row>
    <row r="237" spans="1:8" ht="24" customHeight="1">
      <c r="A237" s="188"/>
      <c r="B237" s="217" t="s">
        <v>724</v>
      </c>
      <c r="C237" s="160" t="s">
        <v>725</v>
      </c>
      <c r="D237" s="160" t="s">
        <v>732</v>
      </c>
      <c r="E237" s="214"/>
      <c r="F237" s="160"/>
      <c r="G237" s="56"/>
      <c r="H237" s="74"/>
    </row>
    <row r="238" spans="1:8" ht="24" customHeight="1">
      <c r="A238" s="188"/>
      <c r="B238" s="217"/>
      <c r="C238" s="160" t="s">
        <v>726</v>
      </c>
      <c r="D238" s="160" t="s">
        <v>730</v>
      </c>
      <c r="E238" s="214"/>
      <c r="F238" s="160"/>
      <c r="G238" s="56"/>
      <c r="H238" s="78"/>
    </row>
    <row r="239" spans="1:8" ht="24" customHeight="1">
      <c r="A239" s="188"/>
      <c r="B239" s="217"/>
      <c r="C239" s="160" t="s">
        <v>727</v>
      </c>
      <c r="D239" s="160" t="s">
        <v>149</v>
      </c>
      <c r="E239" s="214"/>
      <c r="F239" s="160"/>
      <c r="G239" s="56"/>
      <c r="H239" s="57"/>
    </row>
    <row r="240" spans="1:8" s="104" customFormat="1" ht="24" customHeight="1">
      <c r="A240" s="188"/>
      <c r="B240" s="217"/>
      <c r="C240" s="160" t="s">
        <v>728</v>
      </c>
      <c r="D240" s="160"/>
      <c r="E240" s="214"/>
      <c r="F240" s="160"/>
      <c r="G240" s="56"/>
      <c r="H240" s="57"/>
    </row>
    <row r="241" spans="1:8" s="104" customFormat="1" ht="24" customHeight="1">
      <c r="A241" s="188"/>
      <c r="B241" s="217"/>
      <c r="C241" s="160" t="s">
        <v>729</v>
      </c>
      <c r="D241" s="160"/>
      <c r="E241" s="214"/>
      <c r="F241" s="160"/>
      <c r="G241" s="56"/>
      <c r="H241" s="57"/>
    </row>
    <row r="242" spans="1:8" s="104" customFormat="1" ht="24" customHeight="1">
      <c r="A242" s="188"/>
      <c r="B242" s="217"/>
      <c r="C242" s="160" t="s">
        <v>723</v>
      </c>
      <c r="D242" s="160"/>
      <c r="E242" s="214"/>
      <c r="F242" s="160"/>
      <c r="G242" s="56"/>
      <c r="H242" s="57"/>
    </row>
    <row r="243" spans="1:8" s="104" customFormat="1" ht="24" customHeight="1">
      <c r="A243" s="188"/>
      <c r="B243" s="217"/>
      <c r="C243" s="160" t="s">
        <v>391</v>
      </c>
      <c r="D243" s="160"/>
      <c r="E243" s="214"/>
      <c r="F243" s="160"/>
      <c r="G243" s="56"/>
      <c r="H243" s="57"/>
    </row>
    <row r="244" spans="1:8" s="104" customFormat="1" ht="24" customHeight="1">
      <c r="A244" s="188"/>
      <c r="B244" s="217"/>
      <c r="C244" s="160"/>
      <c r="D244" s="160"/>
      <c r="E244" s="214"/>
      <c r="F244" s="160"/>
      <c r="G244" s="56"/>
      <c r="H244" s="57"/>
    </row>
    <row r="245" spans="1:8" s="104" customFormat="1" ht="24" customHeight="1">
      <c r="A245" s="188"/>
      <c r="B245" s="217"/>
      <c r="C245" s="160"/>
      <c r="D245" s="160"/>
      <c r="E245" s="214"/>
      <c r="F245" s="160"/>
      <c r="G245" s="56"/>
      <c r="H245" s="57"/>
    </row>
    <row r="246" spans="1:8" ht="24" customHeight="1">
      <c r="A246" s="188"/>
      <c r="B246" s="217"/>
      <c r="C246" s="160"/>
      <c r="D246" s="160"/>
      <c r="E246" s="214"/>
      <c r="F246" s="160"/>
      <c r="G246" s="56"/>
      <c r="H246" s="57"/>
    </row>
    <row r="247" spans="1:8" ht="24" customHeight="1">
      <c r="A247" s="189"/>
      <c r="B247" s="181"/>
      <c r="C247" s="165"/>
      <c r="D247" s="165"/>
      <c r="E247" s="255"/>
      <c r="F247" s="165"/>
      <c r="G247" s="56"/>
      <c r="H247" s="57"/>
    </row>
    <row r="248" spans="1:8" ht="24" customHeight="1">
      <c r="A248" s="97"/>
      <c r="B248" s="98"/>
      <c r="C248" s="51"/>
      <c r="D248" s="52"/>
      <c r="E248" s="139"/>
      <c r="F248" s="52"/>
      <c r="G248" s="56"/>
      <c r="H248" s="57"/>
    </row>
    <row r="249" spans="1:8" ht="24" customHeight="1">
      <c r="A249" s="379" t="s">
        <v>733</v>
      </c>
      <c r="B249" s="379"/>
      <c r="C249" s="379"/>
      <c r="D249" s="379"/>
      <c r="E249" s="379"/>
      <c r="F249" s="379"/>
    </row>
    <row r="250" spans="1:8" ht="24" customHeight="1">
      <c r="A250" s="40" t="s">
        <v>41</v>
      </c>
      <c r="B250" s="40" t="s">
        <v>619</v>
      </c>
      <c r="C250" s="40" t="s">
        <v>620</v>
      </c>
      <c r="D250" s="40" t="s">
        <v>605</v>
      </c>
      <c r="E250" s="137" t="s">
        <v>31</v>
      </c>
      <c r="F250" s="40" t="s">
        <v>396</v>
      </c>
    </row>
    <row r="251" spans="1:8" ht="24" customHeight="1">
      <c r="A251" s="41" t="s">
        <v>40</v>
      </c>
      <c r="B251" s="41"/>
      <c r="C251" s="41"/>
      <c r="D251" s="41" t="s">
        <v>606</v>
      </c>
      <c r="E251" s="129"/>
      <c r="F251" s="42"/>
      <c r="H251" s="54"/>
    </row>
    <row r="252" spans="1:8" ht="24" customHeight="1">
      <c r="A252" s="169"/>
      <c r="B252" s="170" t="s">
        <v>228</v>
      </c>
      <c r="C252" s="256"/>
      <c r="D252" s="256"/>
      <c r="E252" s="228">
        <f>SUM(E253,E361)</f>
        <v>27225000</v>
      </c>
      <c r="F252" s="157"/>
    </row>
    <row r="253" spans="1:8" ht="24" customHeight="1">
      <c r="A253" s="171"/>
      <c r="B253" s="172" t="s">
        <v>23</v>
      </c>
      <c r="C253" s="171"/>
      <c r="D253" s="171"/>
      <c r="E253" s="173">
        <f>SUM(E254:E278,E284:E309,E314:E340,E346:E360)</f>
        <v>15480000</v>
      </c>
      <c r="F253" s="162"/>
    </row>
    <row r="254" spans="1:8" s="104" customFormat="1" ht="24" customHeight="1">
      <c r="A254" s="223">
        <v>1</v>
      </c>
      <c r="B254" s="237" t="s">
        <v>734</v>
      </c>
      <c r="C254" s="218" t="s">
        <v>735</v>
      </c>
      <c r="D254" s="160" t="s">
        <v>402</v>
      </c>
      <c r="E254" s="202">
        <v>150000</v>
      </c>
      <c r="F254" s="162" t="s">
        <v>397</v>
      </c>
    </row>
    <row r="255" spans="1:8" s="104" customFormat="1" ht="24" customHeight="1">
      <c r="A255" s="171"/>
      <c r="B255" s="172"/>
      <c r="C255" s="218" t="s">
        <v>736</v>
      </c>
      <c r="D255" s="160" t="s">
        <v>597</v>
      </c>
      <c r="E255" s="173"/>
      <c r="F255" s="162"/>
    </row>
    <row r="256" spans="1:8" s="104" customFormat="1" ht="24" customHeight="1">
      <c r="A256" s="171"/>
      <c r="B256" s="172"/>
      <c r="C256" s="218" t="s">
        <v>643</v>
      </c>
      <c r="D256" s="171"/>
      <c r="E256" s="173"/>
      <c r="F256" s="162"/>
    </row>
    <row r="257" spans="1:6" s="104" customFormat="1" ht="24" customHeight="1">
      <c r="A257" s="182"/>
      <c r="B257" s="257"/>
      <c r="C257" s="219"/>
      <c r="D257" s="182"/>
      <c r="E257" s="225"/>
      <c r="F257" s="167"/>
    </row>
    <row r="258" spans="1:6" ht="24" customHeight="1">
      <c r="A258" s="187">
        <v>2</v>
      </c>
      <c r="B258" s="191" t="s">
        <v>321</v>
      </c>
      <c r="C258" s="185" t="s">
        <v>322</v>
      </c>
      <c r="D258" s="155" t="s">
        <v>402</v>
      </c>
      <c r="E258" s="254">
        <v>1500000</v>
      </c>
      <c r="F258" s="155" t="s">
        <v>397</v>
      </c>
    </row>
    <row r="259" spans="1:6" ht="24" customHeight="1">
      <c r="A259" s="188"/>
      <c r="B259" s="258"/>
      <c r="C259" s="175" t="s">
        <v>323</v>
      </c>
      <c r="D259" s="160" t="s">
        <v>597</v>
      </c>
      <c r="E259" s="214"/>
      <c r="F259" s="162"/>
    </row>
    <row r="260" spans="1:6" ht="24" customHeight="1">
      <c r="A260" s="188"/>
      <c r="B260" s="258"/>
      <c r="C260" s="175" t="s">
        <v>324</v>
      </c>
      <c r="D260" s="188"/>
      <c r="E260" s="214"/>
      <c r="F260" s="162"/>
    </row>
    <row r="261" spans="1:6" ht="24" customHeight="1">
      <c r="A261" s="189"/>
      <c r="B261" s="180"/>
      <c r="C261" s="181"/>
      <c r="D261" s="189"/>
      <c r="E261" s="255"/>
      <c r="F261" s="167"/>
    </row>
    <row r="262" spans="1:6" ht="24" customHeight="1">
      <c r="A262" s="187">
        <v>3</v>
      </c>
      <c r="B262" s="191" t="s">
        <v>325</v>
      </c>
      <c r="C262" s="185" t="s">
        <v>552</v>
      </c>
      <c r="D262" s="155" t="s">
        <v>402</v>
      </c>
      <c r="E262" s="254">
        <v>2500000</v>
      </c>
      <c r="F262" s="155" t="s">
        <v>397</v>
      </c>
    </row>
    <row r="263" spans="1:6" ht="24" customHeight="1">
      <c r="A263" s="188"/>
      <c r="B263" s="258"/>
      <c r="C263" s="175" t="s">
        <v>327</v>
      </c>
      <c r="D263" s="160" t="s">
        <v>597</v>
      </c>
      <c r="E263" s="214"/>
      <c r="F263" s="162"/>
    </row>
    <row r="264" spans="1:6" ht="24" customHeight="1">
      <c r="A264" s="188"/>
      <c r="B264" s="258"/>
      <c r="C264" s="175" t="s">
        <v>326</v>
      </c>
      <c r="D264" s="188"/>
      <c r="E264" s="214"/>
      <c r="F264" s="162"/>
    </row>
    <row r="265" spans="1:6" ht="24" customHeight="1">
      <c r="A265" s="189"/>
      <c r="B265" s="180"/>
      <c r="C265" s="181"/>
      <c r="D265" s="189"/>
      <c r="E265" s="255"/>
      <c r="F265" s="167"/>
    </row>
    <row r="266" spans="1:6" ht="24" customHeight="1">
      <c r="A266" s="187">
        <v>4</v>
      </c>
      <c r="B266" s="191" t="s">
        <v>328</v>
      </c>
      <c r="C266" s="185" t="s">
        <v>553</v>
      </c>
      <c r="D266" s="155" t="s">
        <v>402</v>
      </c>
      <c r="E266" s="254">
        <v>2500000</v>
      </c>
      <c r="F266" s="155" t="s">
        <v>397</v>
      </c>
    </row>
    <row r="267" spans="1:6" ht="24" customHeight="1">
      <c r="A267" s="188"/>
      <c r="B267" s="258"/>
      <c r="C267" s="175" t="s">
        <v>329</v>
      </c>
      <c r="D267" s="160" t="s">
        <v>597</v>
      </c>
      <c r="E267" s="214"/>
      <c r="F267" s="162"/>
    </row>
    <row r="268" spans="1:6" ht="24" customHeight="1">
      <c r="A268" s="189"/>
      <c r="B268" s="180"/>
      <c r="C268" s="181"/>
      <c r="D268" s="189"/>
      <c r="E268" s="255"/>
      <c r="F268" s="167"/>
    </row>
    <row r="269" spans="1:6" ht="24" customHeight="1">
      <c r="A269" s="187">
        <v>5</v>
      </c>
      <c r="B269" s="191" t="s">
        <v>737</v>
      </c>
      <c r="C269" s="185" t="s">
        <v>554</v>
      </c>
      <c r="D269" s="155" t="s">
        <v>402</v>
      </c>
      <c r="E269" s="254">
        <v>2000000</v>
      </c>
      <c r="F269" s="155" t="s">
        <v>397</v>
      </c>
    </row>
    <row r="270" spans="1:6" ht="24" customHeight="1">
      <c r="A270" s="188"/>
      <c r="B270" s="258"/>
      <c r="C270" s="175" t="s">
        <v>555</v>
      </c>
      <c r="D270" s="160" t="s">
        <v>597</v>
      </c>
      <c r="E270" s="214"/>
      <c r="F270" s="162"/>
    </row>
    <row r="271" spans="1:6" ht="24" customHeight="1">
      <c r="A271" s="188"/>
      <c r="B271" s="258"/>
      <c r="C271" s="175" t="s">
        <v>556</v>
      </c>
      <c r="D271" s="188"/>
      <c r="E271" s="214"/>
      <c r="F271" s="162"/>
    </row>
    <row r="272" spans="1:6" ht="24" customHeight="1">
      <c r="A272" s="188"/>
      <c r="B272" s="258"/>
      <c r="C272" s="175" t="s">
        <v>557</v>
      </c>
      <c r="D272" s="188"/>
      <c r="E272" s="214"/>
      <c r="F272" s="162"/>
    </row>
    <row r="273" spans="1:8" s="104" customFormat="1" ht="24" customHeight="1">
      <c r="A273" s="189"/>
      <c r="B273" s="180"/>
      <c r="C273" s="181"/>
      <c r="D273" s="189"/>
      <c r="E273" s="255"/>
      <c r="F273" s="167"/>
    </row>
    <row r="274" spans="1:8" ht="24" customHeight="1">
      <c r="A274" s="187">
        <v>6</v>
      </c>
      <c r="B274" s="185" t="s">
        <v>249</v>
      </c>
      <c r="C274" s="185" t="s">
        <v>250</v>
      </c>
      <c r="D274" s="155" t="s">
        <v>402</v>
      </c>
      <c r="E274" s="186">
        <v>500000</v>
      </c>
      <c r="F274" s="155" t="s">
        <v>397</v>
      </c>
      <c r="H274" s="54"/>
    </row>
    <row r="275" spans="1:8" ht="24" customHeight="1">
      <c r="A275" s="158"/>
      <c r="B275" s="192"/>
      <c r="C275" s="175" t="s">
        <v>266</v>
      </c>
      <c r="D275" s="160" t="s">
        <v>597</v>
      </c>
      <c r="E275" s="161"/>
      <c r="F275" s="162"/>
    </row>
    <row r="276" spans="1:8" ht="24" customHeight="1">
      <c r="A276" s="158"/>
      <c r="B276" s="192"/>
      <c r="C276" s="175" t="s">
        <v>267</v>
      </c>
      <c r="D276" s="193"/>
      <c r="E276" s="161"/>
      <c r="F276" s="162"/>
    </row>
    <row r="277" spans="1:8" ht="24" customHeight="1">
      <c r="A277" s="158"/>
      <c r="B277" s="192"/>
      <c r="C277" s="175" t="s">
        <v>268</v>
      </c>
      <c r="D277" s="160"/>
      <c r="E277" s="161"/>
      <c r="F277" s="162"/>
    </row>
    <row r="278" spans="1:8" ht="24" customHeight="1">
      <c r="A278" s="163"/>
      <c r="B278" s="164"/>
      <c r="C278" s="181"/>
      <c r="D278" s="165"/>
      <c r="E278" s="166"/>
      <c r="F278" s="167"/>
    </row>
    <row r="279" spans="1:8" s="104" customFormat="1" ht="24" customHeight="1">
      <c r="A279" s="151"/>
      <c r="B279" s="68"/>
      <c r="C279" s="55"/>
      <c r="D279" s="56"/>
      <c r="E279" s="134"/>
      <c r="F279" s="57"/>
    </row>
    <row r="280" spans="1:8" ht="24" customHeight="1">
      <c r="A280" s="379" t="s">
        <v>738</v>
      </c>
      <c r="B280" s="379"/>
      <c r="C280" s="379"/>
      <c r="D280" s="379"/>
      <c r="E280" s="379"/>
      <c r="F280" s="379"/>
    </row>
    <row r="281" spans="1:8" ht="24" customHeight="1">
      <c r="A281" s="70"/>
      <c r="B281" s="70"/>
      <c r="C281" s="70"/>
      <c r="D281" s="70"/>
      <c r="E281" s="136"/>
      <c r="F281" s="72"/>
    </row>
    <row r="282" spans="1:8" ht="24" customHeight="1">
      <c r="A282" s="40" t="s">
        <v>41</v>
      </c>
      <c r="B282" s="40" t="s">
        <v>619</v>
      </c>
      <c r="C282" s="40" t="s">
        <v>620</v>
      </c>
      <c r="D282" s="40" t="s">
        <v>605</v>
      </c>
      <c r="E282" s="137" t="s">
        <v>31</v>
      </c>
      <c r="F282" s="40" t="s">
        <v>396</v>
      </c>
    </row>
    <row r="283" spans="1:8" ht="24" customHeight="1">
      <c r="A283" s="41" t="s">
        <v>40</v>
      </c>
      <c r="B283" s="41"/>
      <c r="C283" s="41"/>
      <c r="D283" s="41" t="s">
        <v>606</v>
      </c>
      <c r="E283" s="129"/>
      <c r="F283" s="42"/>
      <c r="H283" s="54"/>
    </row>
    <row r="284" spans="1:8" ht="24" customHeight="1">
      <c r="A284" s="190">
        <v>7</v>
      </c>
      <c r="B284" s="168" t="s">
        <v>332</v>
      </c>
      <c r="C284" s="185" t="s">
        <v>334</v>
      </c>
      <c r="D284" s="155" t="s">
        <v>402</v>
      </c>
      <c r="E284" s="156">
        <v>100000</v>
      </c>
      <c r="F284" s="155" t="s">
        <v>397</v>
      </c>
    </row>
    <row r="285" spans="1:8" ht="24" customHeight="1">
      <c r="A285" s="158"/>
      <c r="B285" s="192" t="s">
        <v>333</v>
      </c>
      <c r="C285" s="175" t="s">
        <v>335</v>
      </c>
      <c r="D285" s="160" t="s">
        <v>597</v>
      </c>
      <c r="E285" s="161"/>
      <c r="F285" s="162"/>
    </row>
    <row r="286" spans="1:8" ht="24" customHeight="1">
      <c r="A286" s="158"/>
      <c r="B286" s="192"/>
      <c r="C286" s="175" t="s">
        <v>739</v>
      </c>
      <c r="D286" s="160"/>
      <c r="E286" s="161"/>
      <c r="F286" s="162"/>
    </row>
    <row r="287" spans="1:8" ht="24" customHeight="1">
      <c r="A287" s="158"/>
      <c r="B287" s="192"/>
      <c r="C287" s="175" t="s">
        <v>740</v>
      </c>
      <c r="D287" s="160"/>
      <c r="E287" s="161"/>
      <c r="F287" s="162"/>
    </row>
    <row r="288" spans="1:8" ht="24" customHeight="1">
      <c r="A288" s="158"/>
      <c r="B288" s="192"/>
      <c r="C288" s="175" t="s">
        <v>741</v>
      </c>
      <c r="D288" s="160"/>
      <c r="E288" s="161"/>
      <c r="F288" s="162"/>
    </row>
    <row r="289" spans="1:6" ht="24" customHeight="1">
      <c r="A289" s="158"/>
      <c r="B289" s="192"/>
      <c r="C289" s="175" t="s">
        <v>742</v>
      </c>
      <c r="D289" s="160"/>
      <c r="E289" s="161"/>
      <c r="F289" s="162"/>
    </row>
    <row r="290" spans="1:6" s="52" customFormat="1" ht="24" customHeight="1">
      <c r="A290" s="163"/>
      <c r="B290" s="164"/>
      <c r="C290" s="181"/>
      <c r="D290" s="165"/>
      <c r="E290" s="166"/>
      <c r="F290" s="167"/>
    </row>
    <row r="291" spans="1:6" ht="24" customHeight="1">
      <c r="A291" s="190">
        <v>8</v>
      </c>
      <c r="B291" s="168" t="s">
        <v>743</v>
      </c>
      <c r="C291" s="185" t="s">
        <v>336</v>
      </c>
      <c r="D291" s="155" t="s">
        <v>402</v>
      </c>
      <c r="E291" s="156">
        <v>150000</v>
      </c>
      <c r="F291" s="155" t="s">
        <v>397</v>
      </c>
    </row>
    <row r="292" spans="1:6" ht="24" customHeight="1">
      <c r="A292" s="158"/>
      <c r="B292" s="192"/>
      <c r="C292" s="175" t="s">
        <v>337</v>
      </c>
      <c r="D292" s="160" t="s">
        <v>597</v>
      </c>
      <c r="E292" s="161"/>
      <c r="F292" s="162"/>
    </row>
    <row r="293" spans="1:6" ht="24" customHeight="1">
      <c r="A293" s="158"/>
      <c r="B293" s="192"/>
      <c r="C293" s="175" t="s">
        <v>338</v>
      </c>
      <c r="D293" s="160"/>
      <c r="E293" s="161"/>
      <c r="F293" s="162"/>
    </row>
    <row r="294" spans="1:6" ht="24" customHeight="1">
      <c r="A294" s="158"/>
      <c r="B294" s="192"/>
      <c r="C294" s="175" t="s">
        <v>339</v>
      </c>
      <c r="D294" s="160"/>
      <c r="E294" s="161"/>
      <c r="F294" s="162"/>
    </row>
    <row r="295" spans="1:6" ht="24" customHeight="1">
      <c r="A295" s="158"/>
      <c r="B295" s="192"/>
      <c r="C295" s="175" t="s">
        <v>340</v>
      </c>
      <c r="D295" s="160"/>
      <c r="E295" s="161"/>
      <c r="F295" s="162"/>
    </row>
    <row r="296" spans="1:6" ht="24" customHeight="1">
      <c r="A296" s="158"/>
      <c r="B296" s="192"/>
      <c r="C296" s="175" t="s">
        <v>341</v>
      </c>
      <c r="D296" s="160"/>
      <c r="E296" s="161"/>
      <c r="F296" s="162"/>
    </row>
    <row r="297" spans="1:6" ht="24" customHeight="1">
      <c r="A297" s="163"/>
      <c r="B297" s="164"/>
      <c r="C297" s="181"/>
      <c r="D297" s="165"/>
      <c r="E297" s="166"/>
      <c r="F297" s="167"/>
    </row>
    <row r="298" spans="1:6" s="104" customFormat="1" ht="24" customHeight="1">
      <c r="A298" s="190">
        <v>9</v>
      </c>
      <c r="B298" s="168" t="s">
        <v>744</v>
      </c>
      <c r="C298" s="185" t="s">
        <v>745</v>
      </c>
      <c r="D298" s="155" t="s">
        <v>402</v>
      </c>
      <c r="E298" s="156">
        <v>600000</v>
      </c>
      <c r="F298" s="157" t="s">
        <v>397</v>
      </c>
    </row>
    <row r="299" spans="1:6" s="104" customFormat="1" ht="24" customHeight="1">
      <c r="A299" s="158"/>
      <c r="B299" s="192"/>
      <c r="C299" s="175" t="s">
        <v>746</v>
      </c>
      <c r="D299" s="160" t="s">
        <v>597</v>
      </c>
      <c r="E299" s="161"/>
      <c r="F299" s="162"/>
    </row>
    <row r="300" spans="1:6" s="104" customFormat="1" ht="24" customHeight="1">
      <c r="A300" s="158"/>
      <c r="B300" s="192"/>
      <c r="C300" s="175" t="s">
        <v>747</v>
      </c>
      <c r="D300" s="160"/>
      <c r="E300" s="161"/>
      <c r="F300" s="162"/>
    </row>
    <row r="301" spans="1:6" s="104" customFormat="1" ht="24" customHeight="1">
      <c r="A301" s="163"/>
      <c r="B301" s="164"/>
      <c r="C301" s="181"/>
      <c r="D301" s="165"/>
      <c r="E301" s="166"/>
      <c r="F301" s="167"/>
    </row>
    <row r="302" spans="1:6" s="104" customFormat="1" ht="24" customHeight="1">
      <c r="A302" s="190">
        <v>10</v>
      </c>
      <c r="B302" s="168" t="s">
        <v>748</v>
      </c>
      <c r="C302" s="185" t="s">
        <v>749</v>
      </c>
      <c r="D302" s="155" t="s">
        <v>402</v>
      </c>
      <c r="E302" s="156">
        <v>80000</v>
      </c>
      <c r="F302" s="157" t="s">
        <v>397</v>
      </c>
    </row>
    <row r="303" spans="1:6" s="104" customFormat="1" ht="24" customHeight="1">
      <c r="A303" s="158"/>
      <c r="B303" s="192"/>
      <c r="C303" s="175"/>
      <c r="D303" s="160" t="s">
        <v>597</v>
      </c>
      <c r="E303" s="161"/>
      <c r="F303" s="162"/>
    </row>
    <row r="304" spans="1:6" s="104" customFormat="1" ht="24" customHeight="1">
      <c r="A304" s="163"/>
      <c r="B304" s="164"/>
      <c r="C304" s="181"/>
      <c r="D304" s="165"/>
      <c r="E304" s="166"/>
      <c r="F304" s="167"/>
    </row>
    <row r="305" spans="1:8" s="104" customFormat="1" ht="24" customHeight="1">
      <c r="A305" s="190">
        <v>11</v>
      </c>
      <c r="B305" s="168" t="s">
        <v>750</v>
      </c>
      <c r="C305" s="185" t="s">
        <v>751</v>
      </c>
      <c r="D305" s="155" t="s">
        <v>402</v>
      </c>
      <c r="E305" s="156">
        <v>150000</v>
      </c>
      <c r="F305" s="157" t="s">
        <v>397</v>
      </c>
    </row>
    <row r="306" spans="1:8" s="104" customFormat="1" ht="24" customHeight="1">
      <c r="A306" s="158"/>
      <c r="B306" s="192"/>
      <c r="C306" s="175"/>
      <c r="D306" s="160" t="s">
        <v>597</v>
      </c>
      <c r="E306" s="161"/>
      <c r="F306" s="162"/>
    </row>
    <row r="307" spans="1:8" s="104" customFormat="1" ht="24" customHeight="1">
      <c r="A307" s="158"/>
      <c r="B307" s="192"/>
      <c r="C307" s="175"/>
      <c r="D307" s="160"/>
      <c r="E307" s="161"/>
      <c r="F307" s="162"/>
    </row>
    <row r="308" spans="1:8" s="104" customFormat="1" ht="24" customHeight="1">
      <c r="A308" s="158"/>
      <c r="B308" s="192"/>
      <c r="C308" s="175"/>
      <c r="D308" s="160"/>
      <c r="E308" s="161"/>
      <c r="F308" s="162"/>
    </row>
    <row r="309" spans="1:8" ht="24" customHeight="1">
      <c r="A309" s="206"/>
      <c r="B309" s="164"/>
      <c r="C309" s="181"/>
      <c r="D309" s="165"/>
      <c r="E309" s="166"/>
      <c r="F309" s="167"/>
    </row>
    <row r="310" spans="1:8" s="104" customFormat="1" ht="24" customHeight="1">
      <c r="A310" s="62"/>
      <c r="B310" s="68"/>
      <c r="C310" s="55"/>
      <c r="D310" s="56"/>
      <c r="E310" s="134"/>
      <c r="F310" s="57"/>
    </row>
    <row r="311" spans="1:8" s="57" customFormat="1" ht="24" customHeight="1">
      <c r="A311" s="384" t="s">
        <v>403</v>
      </c>
      <c r="B311" s="384"/>
      <c r="C311" s="384"/>
      <c r="D311" s="384"/>
      <c r="E311" s="384"/>
      <c r="F311" s="384"/>
    </row>
    <row r="312" spans="1:8" s="104" customFormat="1" ht="24" customHeight="1">
      <c r="A312" s="40" t="s">
        <v>41</v>
      </c>
      <c r="B312" s="40" t="s">
        <v>619</v>
      </c>
      <c r="C312" s="40" t="s">
        <v>620</v>
      </c>
      <c r="D312" s="40" t="s">
        <v>605</v>
      </c>
      <c r="E312" s="137" t="s">
        <v>31</v>
      </c>
      <c r="F312" s="40" t="s">
        <v>396</v>
      </c>
    </row>
    <row r="313" spans="1:8" s="104" customFormat="1" ht="24" customHeight="1">
      <c r="A313" s="41" t="s">
        <v>40</v>
      </c>
      <c r="B313" s="41"/>
      <c r="C313" s="41"/>
      <c r="D313" s="41" t="s">
        <v>606</v>
      </c>
      <c r="E313" s="129"/>
      <c r="F313" s="42"/>
      <c r="H313" s="54"/>
    </row>
    <row r="314" spans="1:8" ht="24" customHeight="1">
      <c r="A314" s="190">
        <v>12</v>
      </c>
      <c r="B314" s="168" t="s">
        <v>752</v>
      </c>
      <c r="C314" s="185" t="s">
        <v>753</v>
      </c>
      <c r="D314" s="155" t="s">
        <v>360</v>
      </c>
      <c r="E314" s="156">
        <v>400000</v>
      </c>
      <c r="F314" s="155" t="s">
        <v>397</v>
      </c>
    </row>
    <row r="315" spans="1:8" ht="24" customHeight="1">
      <c r="A315" s="158"/>
      <c r="B315" s="192"/>
      <c r="C315" s="175" t="s">
        <v>755</v>
      </c>
      <c r="D315" s="160" t="s">
        <v>638</v>
      </c>
      <c r="E315" s="259"/>
      <c r="F315" s="162"/>
    </row>
    <row r="316" spans="1:8" ht="24" customHeight="1">
      <c r="A316" s="203"/>
      <c r="B316" s="204"/>
      <c r="C316" s="175" t="s">
        <v>754</v>
      </c>
      <c r="D316" s="160" t="s">
        <v>608</v>
      </c>
      <c r="E316" s="161"/>
      <c r="F316" s="162"/>
    </row>
    <row r="317" spans="1:8" ht="24" customHeight="1">
      <c r="A317" s="203"/>
      <c r="B317" s="204"/>
      <c r="C317" s="175" t="s">
        <v>550</v>
      </c>
      <c r="D317" s="160" t="s">
        <v>609</v>
      </c>
      <c r="E317" s="161"/>
      <c r="F317" s="162"/>
    </row>
    <row r="318" spans="1:8" ht="24" customHeight="1">
      <c r="A318" s="206"/>
      <c r="B318" s="207"/>
      <c r="C318" s="181"/>
      <c r="D318" s="165"/>
      <c r="E318" s="166"/>
      <c r="F318" s="167"/>
    </row>
    <row r="319" spans="1:8" ht="24" customHeight="1">
      <c r="A319" s="190">
        <v>13</v>
      </c>
      <c r="B319" s="168" t="s">
        <v>756</v>
      </c>
      <c r="C319" s="185" t="s">
        <v>251</v>
      </c>
      <c r="D319" s="155" t="s">
        <v>564</v>
      </c>
      <c r="E319" s="156">
        <v>200000</v>
      </c>
      <c r="F319" s="155" t="s">
        <v>397</v>
      </c>
    </row>
    <row r="320" spans="1:8" ht="24" customHeight="1">
      <c r="A320" s="158"/>
      <c r="B320" s="192" t="s">
        <v>757</v>
      </c>
      <c r="C320" s="175" t="s">
        <v>252</v>
      </c>
      <c r="D320" s="160" t="s">
        <v>758</v>
      </c>
      <c r="E320" s="176"/>
      <c r="F320" s="162"/>
    </row>
    <row r="321" spans="1:8" ht="24" customHeight="1">
      <c r="A321" s="158"/>
      <c r="B321" s="192"/>
      <c r="C321" s="217" t="s">
        <v>253</v>
      </c>
      <c r="D321" s="160"/>
      <c r="E321" s="161"/>
      <c r="F321" s="162"/>
    </row>
    <row r="322" spans="1:8" ht="24" customHeight="1">
      <c r="A322" s="203"/>
      <c r="B322" s="204"/>
      <c r="C322" s="175" t="s">
        <v>254</v>
      </c>
      <c r="D322" s="160"/>
      <c r="E322" s="161"/>
      <c r="F322" s="162"/>
    </row>
    <row r="323" spans="1:8" ht="24" customHeight="1">
      <c r="A323" s="203"/>
      <c r="B323" s="204"/>
      <c r="C323" s="175" t="s">
        <v>759</v>
      </c>
      <c r="D323" s="160"/>
      <c r="E323" s="161"/>
      <c r="F323" s="162"/>
    </row>
    <row r="324" spans="1:8" s="104" customFormat="1" ht="24" customHeight="1">
      <c r="A324" s="203"/>
      <c r="B324" s="204"/>
      <c r="C324" s="175" t="s">
        <v>224</v>
      </c>
      <c r="D324" s="160"/>
      <c r="E324" s="161"/>
      <c r="F324" s="162"/>
    </row>
    <row r="325" spans="1:8" s="104" customFormat="1" ht="24" customHeight="1">
      <c r="A325" s="190">
        <v>14</v>
      </c>
      <c r="B325" s="168" t="s">
        <v>760</v>
      </c>
      <c r="C325" s="185" t="s">
        <v>761</v>
      </c>
      <c r="D325" s="155" t="s">
        <v>360</v>
      </c>
      <c r="E325" s="156">
        <v>750000</v>
      </c>
      <c r="F325" s="157" t="s">
        <v>397</v>
      </c>
    </row>
    <row r="326" spans="1:8" s="104" customFormat="1" ht="24" customHeight="1">
      <c r="A326" s="203"/>
      <c r="B326" s="192"/>
      <c r="C326" s="175" t="s">
        <v>762</v>
      </c>
      <c r="D326" s="160" t="s">
        <v>638</v>
      </c>
      <c r="E326" s="161"/>
      <c r="F326" s="162"/>
    </row>
    <row r="327" spans="1:8" s="104" customFormat="1" ht="24" customHeight="1">
      <c r="A327" s="203"/>
      <c r="B327" s="192"/>
      <c r="C327" s="175" t="s">
        <v>763</v>
      </c>
      <c r="D327" s="160" t="s">
        <v>608</v>
      </c>
      <c r="E327" s="161"/>
      <c r="F327" s="162"/>
    </row>
    <row r="328" spans="1:8" s="104" customFormat="1" ht="24" customHeight="1">
      <c r="A328" s="203"/>
      <c r="B328" s="192"/>
      <c r="C328" s="175" t="s">
        <v>764</v>
      </c>
      <c r="D328" s="160" t="s">
        <v>609</v>
      </c>
      <c r="E328" s="161"/>
      <c r="F328" s="162"/>
    </row>
    <row r="329" spans="1:8" s="104" customFormat="1" ht="24" customHeight="1">
      <c r="A329" s="230"/>
      <c r="B329" s="249"/>
      <c r="C329" s="231" t="s">
        <v>765</v>
      </c>
      <c r="D329" s="260"/>
      <c r="E329" s="233"/>
      <c r="F329" s="234"/>
    </row>
    <row r="330" spans="1:8" s="104" customFormat="1" ht="24" customHeight="1">
      <c r="A330" s="206"/>
      <c r="B330" s="164"/>
      <c r="C330" s="181"/>
      <c r="D330" s="165"/>
      <c r="E330" s="166"/>
      <c r="F330" s="167"/>
    </row>
    <row r="331" spans="1:8" ht="24" customHeight="1">
      <c r="A331" s="190">
        <v>15</v>
      </c>
      <c r="B331" s="168" t="s">
        <v>342</v>
      </c>
      <c r="C331" s="155" t="s">
        <v>343</v>
      </c>
      <c r="D331" s="155" t="s">
        <v>360</v>
      </c>
      <c r="E331" s="156">
        <v>1100000</v>
      </c>
      <c r="F331" s="155" t="s">
        <v>397</v>
      </c>
    </row>
    <row r="332" spans="1:8" ht="24" customHeight="1">
      <c r="A332" s="177"/>
      <c r="B332" s="175" t="s">
        <v>331</v>
      </c>
      <c r="C332" s="175" t="s">
        <v>344</v>
      </c>
      <c r="D332" s="160" t="s">
        <v>638</v>
      </c>
      <c r="E332" s="173"/>
      <c r="F332" s="162"/>
      <c r="H332" s="54"/>
    </row>
    <row r="333" spans="1:8" ht="24" customHeight="1">
      <c r="A333" s="158"/>
      <c r="B333" s="192"/>
      <c r="C333" s="160" t="s">
        <v>766</v>
      </c>
      <c r="D333" s="160" t="s">
        <v>608</v>
      </c>
      <c r="E333" s="161"/>
      <c r="F333" s="162"/>
    </row>
    <row r="334" spans="1:8" ht="24" customHeight="1">
      <c r="A334" s="158"/>
      <c r="B334" s="192"/>
      <c r="C334" s="160" t="s">
        <v>767</v>
      </c>
      <c r="D334" s="160" t="s">
        <v>609</v>
      </c>
      <c r="E334" s="161"/>
      <c r="F334" s="162"/>
    </row>
    <row r="335" spans="1:8" ht="24" customHeight="1">
      <c r="A335" s="163"/>
      <c r="B335" s="164"/>
      <c r="C335" s="165"/>
      <c r="D335" s="261"/>
      <c r="E335" s="166"/>
      <c r="F335" s="167"/>
    </row>
    <row r="336" spans="1:8" s="57" customFormat="1" ht="24" customHeight="1">
      <c r="A336" s="187">
        <v>16</v>
      </c>
      <c r="B336" s="262" t="s">
        <v>330</v>
      </c>
      <c r="C336" s="155" t="s">
        <v>769</v>
      </c>
      <c r="D336" s="155" t="s">
        <v>72</v>
      </c>
      <c r="E336" s="263">
        <v>100000</v>
      </c>
      <c r="F336" s="157" t="s">
        <v>397</v>
      </c>
    </row>
    <row r="337" spans="1:8" s="57" customFormat="1" ht="24" customHeight="1">
      <c r="A337" s="188"/>
      <c r="B337" s="264"/>
      <c r="C337" s="160" t="s">
        <v>770</v>
      </c>
      <c r="D337" s="160" t="s">
        <v>773</v>
      </c>
      <c r="E337" s="265"/>
      <c r="F337" s="162"/>
    </row>
    <row r="338" spans="1:8" s="57" customFormat="1" ht="24" customHeight="1">
      <c r="A338" s="268"/>
      <c r="B338" s="269"/>
      <c r="C338" s="260" t="s">
        <v>771</v>
      </c>
      <c r="D338" s="260" t="s">
        <v>774</v>
      </c>
      <c r="E338" s="270"/>
      <c r="F338" s="234"/>
    </row>
    <row r="339" spans="1:8" s="57" customFormat="1" ht="24" customHeight="1">
      <c r="A339" s="268"/>
      <c r="B339" s="269"/>
      <c r="C339" s="260" t="s">
        <v>772</v>
      </c>
      <c r="D339" s="260"/>
      <c r="E339" s="270"/>
      <c r="F339" s="234"/>
    </row>
    <row r="340" spans="1:8" s="57" customFormat="1" ht="24" customHeight="1">
      <c r="A340" s="189"/>
      <c r="B340" s="266"/>
      <c r="C340" s="165" t="s">
        <v>765</v>
      </c>
      <c r="D340" s="165"/>
      <c r="E340" s="267"/>
      <c r="F340" s="167"/>
    </row>
    <row r="341" spans="1:8" s="57" customFormat="1" ht="24" customHeight="1">
      <c r="A341" s="153"/>
      <c r="B341" s="76"/>
      <c r="C341" s="56"/>
      <c r="D341" s="56"/>
      <c r="E341" s="141"/>
    </row>
    <row r="342" spans="1:8" s="57" customFormat="1" ht="24" customHeight="1">
      <c r="A342" s="384" t="s">
        <v>768</v>
      </c>
      <c r="B342" s="384"/>
      <c r="C342" s="384"/>
      <c r="D342" s="384"/>
      <c r="E342" s="384"/>
      <c r="F342" s="384"/>
    </row>
    <row r="343" spans="1:8" ht="24" customHeight="1">
      <c r="A343" s="379"/>
      <c r="B343" s="379"/>
      <c r="C343" s="379"/>
      <c r="D343" s="379"/>
      <c r="E343" s="379"/>
      <c r="F343" s="379"/>
    </row>
    <row r="344" spans="1:8" ht="24" customHeight="1">
      <c r="A344" s="40" t="s">
        <v>41</v>
      </c>
      <c r="B344" s="40" t="s">
        <v>619</v>
      </c>
      <c r="C344" s="40" t="s">
        <v>620</v>
      </c>
      <c r="D344" s="40" t="s">
        <v>605</v>
      </c>
      <c r="E344" s="137" t="s">
        <v>31</v>
      </c>
      <c r="F344" s="40" t="s">
        <v>396</v>
      </c>
    </row>
    <row r="345" spans="1:8" ht="24" customHeight="1">
      <c r="A345" s="41" t="s">
        <v>40</v>
      </c>
      <c r="B345" s="41"/>
      <c r="C345" s="41"/>
      <c r="D345" s="41" t="s">
        <v>606</v>
      </c>
      <c r="E345" s="129"/>
      <c r="F345" s="42"/>
      <c r="H345" s="54"/>
    </row>
    <row r="346" spans="1:8" s="57" customFormat="1" ht="24" customHeight="1">
      <c r="A346" s="187">
        <v>17</v>
      </c>
      <c r="B346" s="262" t="s">
        <v>345</v>
      </c>
      <c r="C346" s="155" t="s">
        <v>558</v>
      </c>
      <c r="D346" s="155" t="s">
        <v>349</v>
      </c>
      <c r="E346" s="263">
        <v>1800000</v>
      </c>
      <c r="F346" s="155" t="s">
        <v>397</v>
      </c>
    </row>
    <row r="347" spans="1:8" s="57" customFormat="1" ht="24" customHeight="1">
      <c r="A347" s="188"/>
      <c r="B347" s="264"/>
      <c r="C347" s="160" t="s">
        <v>559</v>
      </c>
      <c r="D347" s="160" t="s">
        <v>224</v>
      </c>
      <c r="E347" s="265"/>
      <c r="F347" s="162"/>
    </row>
    <row r="348" spans="1:8" s="57" customFormat="1" ht="24" customHeight="1">
      <c r="A348" s="188"/>
      <c r="B348" s="264"/>
      <c r="C348" s="160" t="s">
        <v>560</v>
      </c>
      <c r="D348" s="160"/>
      <c r="E348" s="265"/>
      <c r="F348" s="162"/>
    </row>
    <row r="349" spans="1:8" s="57" customFormat="1" ht="24" customHeight="1">
      <c r="A349" s="188"/>
      <c r="B349" s="264"/>
      <c r="C349" s="160" t="s">
        <v>561</v>
      </c>
      <c r="D349" s="160"/>
      <c r="E349" s="265"/>
      <c r="F349" s="162"/>
    </row>
    <row r="350" spans="1:8" s="57" customFormat="1" ht="24" customHeight="1">
      <c r="A350" s="188"/>
      <c r="B350" s="264"/>
      <c r="C350" s="160" t="s">
        <v>562</v>
      </c>
      <c r="D350" s="160"/>
      <c r="E350" s="265"/>
      <c r="F350" s="162"/>
    </row>
    <row r="351" spans="1:8" s="57" customFormat="1" ht="24" customHeight="1">
      <c r="A351" s="188"/>
      <c r="B351" s="264"/>
      <c r="C351" s="160" t="s">
        <v>346</v>
      </c>
      <c r="D351" s="160"/>
      <c r="E351" s="265"/>
      <c r="F351" s="162"/>
    </row>
    <row r="352" spans="1:8" s="57" customFormat="1" ht="24" customHeight="1">
      <c r="A352" s="188"/>
      <c r="B352" s="264"/>
      <c r="C352" s="160" t="s">
        <v>347</v>
      </c>
      <c r="D352" s="160"/>
      <c r="E352" s="265"/>
      <c r="F352" s="162"/>
    </row>
    <row r="353" spans="1:15" s="57" customFormat="1" ht="24" customHeight="1">
      <c r="A353" s="188"/>
      <c r="B353" s="264"/>
      <c r="C353" s="160" t="s">
        <v>348</v>
      </c>
      <c r="D353" s="160"/>
      <c r="E353" s="265"/>
      <c r="F353" s="162"/>
    </row>
    <row r="354" spans="1:15" s="57" customFormat="1" ht="24" customHeight="1">
      <c r="A354" s="189"/>
      <c r="B354" s="266"/>
      <c r="C354" s="167"/>
      <c r="D354" s="165"/>
      <c r="E354" s="267"/>
      <c r="F354" s="167"/>
    </row>
    <row r="355" spans="1:15" s="57" customFormat="1" ht="24" customHeight="1">
      <c r="A355" s="187">
        <v>18</v>
      </c>
      <c r="B355" s="262" t="s">
        <v>775</v>
      </c>
      <c r="C355" s="157" t="s">
        <v>778</v>
      </c>
      <c r="D355" s="155" t="s">
        <v>564</v>
      </c>
      <c r="E355" s="263">
        <v>900000</v>
      </c>
      <c r="F355" s="157" t="s">
        <v>397</v>
      </c>
    </row>
    <row r="356" spans="1:15" s="57" customFormat="1" ht="24" customHeight="1">
      <c r="A356" s="188"/>
      <c r="B356" s="264" t="s">
        <v>776</v>
      </c>
      <c r="C356" s="162" t="s">
        <v>779</v>
      </c>
      <c r="D356" s="160" t="s">
        <v>638</v>
      </c>
      <c r="E356" s="265"/>
      <c r="F356" s="162"/>
    </row>
    <row r="357" spans="1:15" s="57" customFormat="1" ht="24" customHeight="1">
      <c r="A357" s="188"/>
      <c r="B357" s="264" t="s">
        <v>777</v>
      </c>
      <c r="C357" s="162" t="s">
        <v>780</v>
      </c>
      <c r="D357" s="160" t="s">
        <v>608</v>
      </c>
      <c r="E357" s="265"/>
      <c r="F357" s="162"/>
    </row>
    <row r="358" spans="1:15" s="57" customFormat="1" ht="24" customHeight="1">
      <c r="A358" s="188"/>
      <c r="B358" s="264"/>
      <c r="C358" s="162" t="s">
        <v>781</v>
      </c>
      <c r="D358" s="160" t="s">
        <v>609</v>
      </c>
      <c r="E358" s="265"/>
      <c r="F358" s="162"/>
    </row>
    <row r="359" spans="1:15" s="57" customFormat="1" ht="24" customHeight="1">
      <c r="A359" s="188"/>
      <c r="B359" s="264"/>
      <c r="C359" s="162" t="s">
        <v>782</v>
      </c>
      <c r="D359" s="160"/>
      <c r="E359" s="265"/>
      <c r="F359" s="162"/>
    </row>
    <row r="360" spans="1:15" s="57" customFormat="1" ht="24" customHeight="1">
      <c r="A360" s="189"/>
      <c r="B360" s="266"/>
      <c r="C360" s="167"/>
      <c r="D360" s="165"/>
      <c r="E360" s="267"/>
      <c r="F360" s="167"/>
    </row>
    <row r="361" spans="1:15" ht="24" customHeight="1">
      <c r="A361" s="59"/>
      <c r="B361" s="65" t="s">
        <v>24</v>
      </c>
      <c r="C361" s="44"/>
      <c r="D361" s="44"/>
      <c r="E361" s="142">
        <f>SUM(E363:E371,E377:E402,E408:E433,E439:E464)</f>
        <v>11745000</v>
      </c>
      <c r="F361" s="43"/>
    </row>
    <row r="362" spans="1:15" s="104" customFormat="1" ht="24" customHeight="1">
      <c r="A362" s="59"/>
      <c r="B362" s="355" t="s">
        <v>1309</v>
      </c>
      <c r="C362" s="44"/>
      <c r="D362" s="44"/>
      <c r="E362" s="359">
        <f>SUM(E361)</f>
        <v>11745000</v>
      </c>
      <c r="F362" s="43"/>
    </row>
    <row r="363" spans="1:15" ht="24" customHeight="1">
      <c r="A363" s="226">
        <v>1</v>
      </c>
      <c r="B363" s="192" t="s">
        <v>783</v>
      </c>
      <c r="C363" s="160" t="s">
        <v>787</v>
      </c>
      <c r="D363" s="160" t="s">
        <v>352</v>
      </c>
      <c r="E363" s="161">
        <v>540000</v>
      </c>
      <c r="F363" s="160" t="s">
        <v>397</v>
      </c>
      <c r="H363" s="78"/>
      <c r="I363"/>
      <c r="J363" s="78"/>
      <c r="K363" s="73"/>
      <c r="L363" s="73"/>
      <c r="M363" s="73"/>
      <c r="N363" s="73"/>
    </row>
    <row r="364" spans="1:15" ht="24" customHeight="1">
      <c r="A364" s="158"/>
      <c r="B364" s="192" t="s">
        <v>784</v>
      </c>
      <c r="C364" s="193" t="s">
        <v>785</v>
      </c>
      <c r="D364" s="160" t="s">
        <v>354</v>
      </c>
      <c r="E364" s="161"/>
      <c r="F364" s="160"/>
      <c r="H364" s="78"/>
      <c r="I364"/>
      <c r="J364"/>
      <c r="K364" s="73"/>
      <c r="L364" s="73"/>
      <c r="M364" s="73"/>
      <c r="N364" s="73"/>
      <c r="O364" s="73"/>
    </row>
    <row r="365" spans="1:15" ht="24" customHeight="1">
      <c r="A365" s="158"/>
      <c r="B365" s="192"/>
      <c r="C365" s="193" t="s">
        <v>786</v>
      </c>
      <c r="D365" s="160" t="s">
        <v>149</v>
      </c>
      <c r="E365" s="161"/>
      <c r="F365" s="162"/>
      <c r="I365" s="73"/>
      <c r="J365" s="73"/>
      <c r="K365" s="73"/>
      <c r="L365" s="73"/>
      <c r="M365" s="73"/>
      <c r="N365" s="73"/>
      <c r="O365" s="73"/>
    </row>
    <row r="366" spans="1:15" ht="24" customHeight="1">
      <c r="A366" s="158"/>
      <c r="B366" s="204"/>
      <c r="C366" s="160" t="s">
        <v>788</v>
      </c>
      <c r="D366" s="160"/>
      <c r="E366" s="161"/>
      <c r="F366" s="162"/>
    </row>
    <row r="367" spans="1:15" ht="24" customHeight="1">
      <c r="A367" s="158"/>
      <c r="B367" s="204"/>
      <c r="C367" s="160" t="s">
        <v>789</v>
      </c>
      <c r="D367" s="160"/>
      <c r="E367" s="161"/>
      <c r="F367" s="162"/>
    </row>
    <row r="368" spans="1:15" ht="24" customHeight="1">
      <c r="A368" s="158"/>
      <c r="B368" s="204"/>
      <c r="C368" s="160" t="s">
        <v>389</v>
      </c>
      <c r="D368" s="160"/>
      <c r="E368" s="161"/>
      <c r="F368" s="162"/>
    </row>
    <row r="369" spans="1:15" s="104" customFormat="1" ht="24" customHeight="1">
      <c r="A369" s="158"/>
      <c r="B369" s="204"/>
      <c r="C369" s="160"/>
      <c r="D369" s="160"/>
      <c r="E369" s="161"/>
      <c r="F369" s="162"/>
    </row>
    <row r="370" spans="1:15" ht="24" customHeight="1">
      <c r="A370" s="158"/>
      <c r="B370" s="204"/>
      <c r="C370" s="160"/>
      <c r="D370" s="160"/>
      <c r="E370" s="161"/>
      <c r="F370" s="162"/>
    </row>
    <row r="371" spans="1:15" ht="24" customHeight="1">
      <c r="A371" s="163"/>
      <c r="B371" s="207"/>
      <c r="C371" s="165"/>
      <c r="D371" s="165"/>
      <c r="E371" s="166"/>
      <c r="F371" s="167"/>
    </row>
    <row r="372" spans="1:15" s="52" customFormat="1" ht="24" customHeight="1">
      <c r="A372" s="48"/>
      <c r="B372" s="69"/>
      <c r="C372" s="51"/>
      <c r="D372" s="51"/>
      <c r="E372" s="131"/>
    </row>
    <row r="373" spans="1:15" ht="24" customHeight="1">
      <c r="A373" s="379" t="s">
        <v>790</v>
      </c>
      <c r="B373" s="379"/>
      <c r="C373" s="379"/>
      <c r="D373" s="379"/>
      <c r="E373" s="379"/>
      <c r="F373" s="379"/>
    </row>
    <row r="374" spans="1:15" ht="24" customHeight="1">
      <c r="A374" s="70"/>
      <c r="B374" s="70"/>
      <c r="C374" s="70"/>
      <c r="D374" s="70"/>
      <c r="E374" s="136"/>
      <c r="F374" s="72"/>
      <c r="H374" s="78"/>
      <c r="I374"/>
      <c r="J374"/>
      <c r="K374" s="78"/>
    </row>
    <row r="375" spans="1:15" ht="24" customHeight="1">
      <c r="A375" s="40" t="s">
        <v>41</v>
      </c>
      <c r="B375" s="40" t="s">
        <v>619</v>
      </c>
      <c r="C375" s="40" t="s">
        <v>620</v>
      </c>
      <c r="D375" s="40" t="s">
        <v>605</v>
      </c>
      <c r="E375" s="137" t="s">
        <v>31</v>
      </c>
      <c r="F375" s="40" t="s">
        <v>396</v>
      </c>
      <c r="H375" s="78"/>
      <c r="I375"/>
      <c r="J375"/>
      <c r="K375"/>
    </row>
    <row r="376" spans="1:15" ht="24" customHeight="1">
      <c r="A376" s="41" t="s">
        <v>40</v>
      </c>
      <c r="B376" s="41"/>
      <c r="C376" s="41"/>
      <c r="D376" s="41" t="s">
        <v>606</v>
      </c>
      <c r="E376" s="129"/>
      <c r="F376" s="42"/>
      <c r="H376"/>
      <c r="I376"/>
      <c r="J376" s="104" t="s">
        <v>312</v>
      </c>
      <c r="K376" s="104"/>
    </row>
    <row r="377" spans="1:15" ht="24" customHeight="1">
      <c r="A377" s="99">
        <v>2</v>
      </c>
      <c r="B377" s="46" t="s">
        <v>791</v>
      </c>
      <c r="C377" s="44" t="s">
        <v>792</v>
      </c>
      <c r="D377" s="44" t="s">
        <v>351</v>
      </c>
      <c r="E377" s="130">
        <v>455000</v>
      </c>
      <c r="F377" s="44" t="s">
        <v>397</v>
      </c>
      <c r="H377" s="104"/>
      <c r="I377"/>
      <c r="J377"/>
      <c r="K377"/>
    </row>
    <row r="378" spans="1:15" ht="24" customHeight="1">
      <c r="A378" s="59"/>
      <c r="B378" s="46"/>
      <c r="C378" s="44" t="s">
        <v>793</v>
      </c>
      <c r="D378" s="44" t="s">
        <v>355</v>
      </c>
      <c r="E378" s="130"/>
      <c r="F378" s="44"/>
      <c r="H378"/>
      <c r="I378"/>
      <c r="J378" s="104" t="s">
        <v>312</v>
      </c>
      <c r="K378" s="104"/>
      <c r="L378" s="73"/>
      <c r="M378" s="73"/>
      <c r="N378" s="73"/>
      <c r="O378" s="73"/>
    </row>
    <row r="379" spans="1:15" ht="24" customHeight="1">
      <c r="A379" s="59"/>
      <c r="B379" s="60"/>
      <c r="C379" s="44" t="s">
        <v>794</v>
      </c>
      <c r="D379" s="44" t="s">
        <v>183</v>
      </c>
      <c r="E379" s="130"/>
      <c r="F379" s="43"/>
      <c r="H379" s="104"/>
      <c r="I379"/>
      <c r="J379"/>
      <c r="K379"/>
      <c r="L379" s="73"/>
      <c r="M379" s="73"/>
      <c r="N379" s="73"/>
    </row>
    <row r="380" spans="1:15" ht="24" customHeight="1">
      <c r="A380" s="59"/>
      <c r="B380" s="60"/>
      <c r="C380" s="44" t="s">
        <v>353</v>
      </c>
      <c r="D380" s="44"/>
      <c r="E380" s="130"/>
      <c r="F380" s="43"/>
      <c r="H380"/>
      <c r="I380"/>
      <c r="J380" s="78" t="s">
        <v>312</v>
      </c>
      <c r="K380" s="78"/>
      <c r="L380" s="73"/>
      <c r="M380" s="73"/>
      <c r="N380" s="73"/>
      <c r="O380" s="73"/>
    </row>
    <row r="381" spans="1:15" ht="24" customHeight="1">
      <c r="A381" s="59"/>
      <c r="B381" s="60"/>
      <c r="C381" s="44" t="s">
        <v>803</v>
      </c>
      <c r="D381" s="44"/>
      <c r="E381" s="130"/>
      <c r="F381" s="43"/>
    </row>
    <row r="382" spans="1:15" s="104" customFormat="1" ht="24" customHeight="1">
      <c r="A382" s="59"/>
      <c r="B382" s="60"/>
      <c r="C382" s="44" t="s">
        <v>804</v>
      </c>
      <c r="D382" s="44"/>
      <c r="E382" s="130"/>
      <c r="F382" s="43"/>
    </row>
    <row r="383" spans="1:15" s="104" customFormat="1" ht="24" customHeight="1">
      <c r="A383" s="59"/>
      <c r="B383" s="60"/>
      <c r="C383" s="44" t="s">
        <v>795</v>
      </c>
      <c r="D383" s="44"/>
      <c r="E383" s="130"/>
      <c r="F383" s="43"/>
    </row>
    <row r="384" spans="1:15" s="104" customFormat="1" ht="24" customHeight="1">
      <c r="A384" s="59"/>
      <c r="B384" s="60"/>
      <c r="C384" s="44" t="s">
        <v>796</v>
      </c>
      <c r="D384" s="44"/>
      <c r="E384" s="130"/>
      <c r="F384" s="43"/>
    </row>
    <row r="385" spans="1:6" s="104" customFormat="1" ht="24" customHeight="1">
      <c r="A385" s="59"/>
      <c r="B385" s="60"/>
      <c r="C385" s="44" t="s">
        <v>805</v>
      </c>
      <c r="D385" s="44"/>
      <c r="E385" s="130"/>
      <c r="F385" s="43"/>
    </row>
    <row r="386" spans="1:6" ht="24" customHeight="1">
      <c r="A386" s="59"/>
      <c r="B386" s="60"/>
      <c r="C386" s="44" t="s">
        <v>806</v>
      </c>
      <c r="D386" s="44"/>
      <c r="E386" s="130"/>
      <c r="F386" s="43"/>
    </row>
    <row r="387" spans="1:6" s="104" customFormat="1" ht="24" customHeight="1">
      <c r="A387" s="59"/>
      <c r="B387" s="60"/>
      <c r="C387" s="44" t="s">
        <v>807</v>
      </c>
      <c r="D387" s="44"/>
      <c r="E387" s="130"/>
      <c r="F387" s="43"/>
    </row>
    <row r="388" spans="1:6" s="104" customFormat="1" ht="24" customHeight="1">
      <c r="A388" s="59"/>
      <c r="B388" s="60"/>
      <c r="C388" s="44" t="s">
        <v>808</v>
      </c>
      <c r="D388" s="44"/>
      <c r="E388" s="130"/>
      <c r="F388" s="43"/>
    </row>
    <row r="389" spans="1:6" s="104" customFormat="1" ht="24" customHeight="1">
      <c r="A389" s="59"/>
      <c r="B389" s="60"/>
      <c r="C389" s="44" t="s">
        <v>797</v>
      </c>
      <c r="D389" s="44"/>
      <c r="E389" s="130"/>
      <c r="F389" s="43"/>
    </row>
    <row r="390" spans="1:6" s="104" customFormat="1" ht="24" customHeight="1">
      <c r="A390" s="59"/>
      <c r="B390" s="60"/>
      <c r="C390" s="44" t="s">
        <v>809</v>
      </c>
      <c r="D390" s="44"/>
      <c r="E390" s="130"/>
      <c r="F390" s="43"/>
    </row>
    <row r="391" spans="1:6" s="104" customFormat="1" ht="24" customHeight="1">
      <c r="A391" s="59"/>
      <c r="B391" s="60"/>
      <c r="C391" s="44" t="s">
        <v>798</v>
      </c>
      <c r="D391" s="44"/>
      <c r="E391" s="130"/>
      <c r="F391" s="43"/>
    </row>
    <row r="392" spans="1:6" ht="24" customHeight="1">
      <c r="A392" s="59"/>
      <c r="B392" s="60"/>
      <c r="C392" s="44" t="s">
        <v>810</v>
      </c>
      <c r="D392" s="44"/>
      <c r="E392" s="130"/>
      <c r="F392" s="43"/>
    </row>
    <row r="393" spans="1:6" ht="24" customHeight="1">
      <c r="A393" s="59"/>
      <c r="B393" s="60"/>
      <c r="C393" s="44" t="s">
        <v>811</v>
      </c>
      <c r="D393" s="44"/>
      <c r="E393" s="130"/>
      <c r="F393" s="43"/>
    </row>
    <row r="394" spans="1:6" s="104" customFormat="1" ht="24" customHeight="1">
      <c r="A394" s="59"/>
      <c r="B394" s="60"/>
      <c r="C394" s="44" t="s">
        <v>799</v>
      </c>
      <c r="D394" s="44"/>
      <c r="E394" s="130"/>
      <c r="F394" s="43"/>
    </row>
    <row r="395" spans="1:6" s="104" customFormat="1" ht="24" customHeight="1">
      <c r="A395" s="59"/>
      <c r="B395" s="60"/>
      <c r="C395" s="44" t="s">
        <v>800</v>
      </c>
      <c r="D395" s="44"/>
      <c r="E395" s="130"/>
      <c r="F395" s="43"/>
    </row>
    <row r="396" spans="1:6" s="104" customFormat="1" ht="24" customHeight="1">
      <c r="A396" s="59"/>
      <c r="B396" s="60"/>
      <c r="C396" s="44" t="s">
        <v>812</v>
      </c>
      <c r="D396" s="44"/>
      <c r="E396" s="130"/>
      <c r="F396" s="43"/>
    </row>
    <row r="397" spans="1:6" s="104" customFormat="1" ht="24" customHeight="1">
      <c r="A397" s="59"/>
      <c r="B397" s="60"/>
      <c r="C397" s="44" t="s">
        <v>801</v>
      </c>
      <c r="D397" s="44"/>
      <c r="E397" s="130"/>
      <c r="F397" s="43"/>
    </row>
    <row r="398" spans="1:6" s="104" customFormat="1" ht="24" customHeight="1">
      <c r="A398" s="59"/>
      <c r="B398" s="60"/>
      <c r="C398" s="44" t="s">
        <v>802</v>
      </c>
      <c r="D398" s="44"/>
      <c r="E398" s="130"/>
      <c r="F398" s="43"/>
    </row>
    <row r="399" spans="1:6" s="104" customFormat="1" ht="24" customHeight="1">
      <c r="A399" s="59"/>
      <c r="B399" s="60"/>
      <c r="C399" s="44" t="s">
        <v>813</v>
      </c>
      <c r="D399" s="44"/>
      <c r="E399" s="130"/>
      <c r="F399" s="43"/>
    </row>
    <row r="400" spans="1:6" s="104" customFormat="1" ht="24" customHeight="1">
      <c r="A400" s="59"/>
      <c r="B400" s="60"/>
      <c r="C400" s="44"/>
      <c r="D400" s="44"/>
      <c r="E400" s="130"/>
      <c r="F400" s="43"/>
    </row>
    <row r="401" spans="1:16" s="104" customFormat="1" ht="24" customHeight="1">
      <c r="A401" s="59"/>
      <c r="B401" s="60"/>
      <c r="C401" s="44"/>
      <c r="D401" s="44"/>
      <c r="E401" s="130"/>
      <c r="F401" s="43"/>
    </row>
    <row r="402" spans="1:16" s="104" customFormat="1" ht="24" customHeight="1">
      <c r="A402" s="61"/>
      <c r="B402" s="47"/>
      <c r="C402" s="58"/>
      <c r="D402" s="58"/>
      <c r="E402" s="133"/>
      <c r="F402" s="42"/>
    </row>
    <row r="403" spans="1:16" ht="24" customHeight="1">
      <c r="A403" s="62"/>
      <c r="B403" s="63"/>
      <c r="C403" s="55"/>
      <c r="D403" s="56"/>
      <c r="E403" s="134"/>
      <c r="F403" s="56"/>
    </row>
    <row r="404" spans="1:16" ht="24" customHeight="1">
      <c r="A404" s="379" t="s">
        <v>814</v>
      </c>
      <c r="B404" s="379"/>
      <c r="C404" s="379"/>
      <c r="D404" s="379"/>
      <c r="E404" s="379"/>
      <c r="F404" s="379"/>
    </row>
    <row r="405" spans="1:16" ht="24" customHeight="1">
      <c r="A405" s="70"/>
      <c r="B405" s="70"/>
      <c r="C405" s="70"/>
      <c r="D405" s="70"/>
      <c r="E405" s="136"/>
      <c r="F405" s="72"/>
    </row>
    <row r="406" spans="1:16" ht="24" customHeight="1">
      <c r="A406" s="40" t="s">
        <v>41</v>
      </c>
      <c r="B406" s="40" t="s">
        <v>619</v>
      </c>
      <c r="C406" s="40" t="s">
        <v>620</v>
      </c>
      <c r="D406" s="40" t="s">
        <v>605</v>
      </c>
      <c r="E406" s="137" t="s">
        <v>31</v>
      </c>
      <c r="F406" s="40" t="s">
        <v>396</v>
      </c>
    </row>
    <row r="407" spans="1:16" ht="24" customHeight="1">
      <c r="A407" s="41" t="s">
        <v>40</v>
      </c>
      <c r="B407" s="41"/>
      <c r="C407" s="41"/>
      <c r="D407" s="41" t="s">
        <v>606</v>
      </c>
      <c r="E407" s="129"/>
      <c r="F407" s="42"/>
      <c r="H407" s="54"/>
    </row>
    <row r="408" spans="1:16" s="104" customFormat="1" ht="24" customHeight="1">
      <c r="A408" s="190">
        <v>3</v>
      </c>
      <c r="B408" s="168" t="s">
        <v>815</v>
      </c>
      <c r="C408" s="185" t="s">
        <v>817</v>
      </c>
      <c r="D408" s="155" t="s">
        <v>351</v>
      </c>
      <c r="E408" s="156">
        <v>25000</v>
      </c>
      <c r="F408" s="157" t="s">
        <v>397</v>
      </c>
      <c r="I408"/>
      <c r="K408" s="103"/>
      <c r="L408" s="103"/>
      <c r="M408" s="103"/>
      <c r="N408" s="103"/>
    </row>
    <row r="409" spans="1:16" ht="24" customHeight="1">
      <c r="A409" s="158"/>
      <c r="B409" s="192" t="s">
        <v>816</v>
      </c>
      <c r="C409" s="175" t="s">
        <v>818</v>
      </c>
      <c r="D409" s="160" t="s">
        <v>355</v>
      </c>
      <c r="E409" s="161"/>
      <c r="F409" s="162"/>
      <c r="H409" s="104"/>
      <c r="I409"/>
      <c r="J409"/>
      <c r="K409" s="73"/>
      <c r="L409" s="73"/>
      <c r="M409" s="73"/>
      <c r="N409" s="73"/>
    </row>
    <row r="410" spans="1:16" ht="24" customHeight="1">
      <c r="A410" s="158"/>
      <c r="B410" s="159"/>
      <c r="C410" s="175" t="s">
        <v>819</v>
      </c>
      <c r="D410" s="160" t="s">
        <v>183</v>
      </c>
      <c r="E410" s="161"/>
      <c r="F410" s="162"/>
      <c r="H410" s="77"/>
      <c r="I410" s="73"/>
      <c r="J410" s="73"/>
      <c r="K410" s="73"/>
      <c r="L410" s="73"/>
      <c r="M410" s="73"/>
      <c r="N410" s="73"/>
    </row>
    <row r="411" spans="1:16" ht="24" customHeight="1">
      <c r="A411" s="158"/>
      <c r="B411" s="159"/>
      <c r="C411" s="175" t="s">
        <v>821</v>
      </c>
      <c r="D411" s="160"/>
      <c r="E411" s="161"/>
      <c r="F411" s="162"/>
      <c r="H411" s="77"/>
      <c r="I411" s="73"/>
      <c r="J411" s="73"/>
      <c r="K411" s="73"/>
      <c r="L411" s="73"/>
      <c r="M411" s="73"/>
      <c r="N411" s="73"/>
    </row>
    <row r="412" spans="1:16" s="104" customFormat="1" ht="24" customHeight="1">
      <c r="A412" s="158"/>
      <c r="B412" s="159"/>
      <c r="C412" s="175" t="s">
        <v>820</v>
      </c>
      <c r="D412" s="160"/>
      <c r="E412" s="161"/>
      <c r="F412" s="162"/>
      <c r="H412" s="77"/>
      <c r="I412" s="103"/>
      <c r="J412" s="103"/>
      <c r="K412" s="103"/>
      <c r="L412" s="103"/>
      <c r="M412" s="103"/>
      <c r="N412" s="103"/>
    </row>
    <row r="413" spans="1:16" ht="24" customHeight="1">
      <c r="A413" s="158"/>
      <c r="B413" s="192"/>
      <c r="C413" s="175" t="s">
        <v>391</v>
      </c>
      <c r="D413" s="160"/>
      <c r="E413" s="176"/>
      <c r="F413" s="162"/>
      <c r="I413" s="73"/>
      <c r="J413" s="73"/>
      <c r="K413" s="73"/>
      <c r="L413" s="73"/>
      <c r="M413" s="73"/>
      <c r="N413" s="73"/>
    </row>
    <row r="414" spans="1:16" ht="24" customHeight="1">
      <c r="A414" s="273"/>
      <c r="B414" s="164"/>
      <c r="C414" s="181"/>
      <c r="D414" s="165"/>
      <c r="E414" s="183"/>
      <c r="F414" s="165"/>
      <c r="H414" s="36" t="s">
        <v>229</v>
      </c>
      <c r="I414" s="73"/>
      <c r="J414" s="73"/>
      <c r="K414" s="73"/>
      <c r="L414" s="73"/>
      <c r="M414" s="73"/>
      <c r="N414" s="73"/>
    </row>
    <row r="415" spans="1:16" ht="24" customHeight="1">
      <c r="A415" s="199">
        <v>4</v>
      </c>
      <c r="B415" s="200" t="s">
        <v>822</v>
      </c>
      <c r="C415" s="196" t="s">
        <v>826</v>
      </c>
      <c r="D415" s="272" t="s">
        <v>825</v>
      </c>
      <c r="E415" s="201">
        <v>265000</v>
      </c>
      <c r="F415" s="197" t="s">
        <v>397</v>
      </c>
      <c r="H415" s="104"/>
      <c r="I415"/>
      <c r="J415"/>
      <c r="K415"/>
      <c r="L415"/>
      <c r="M415"/>
      <c r="N415"/>
      <c r="O415"/>
      <c r="P415"/>
    </row>
    <row r="416" spans="1:16" ht="24" customHeight="1">
      <c r="A416" s="158"/>
      <c r="B416" s="192" t="s">
        <v>823</v>
      </c>
      <c r="C416" s="175" t="s">
        <v>827</v>
      </c>
      <c r="D416" s="160" t="s">
        <v>563</v>
      </c>
      <c r="E416" s="161"/>
      <c r="F416" s="162"/>
      <c r="H416"/>
      <c r="I416"/>
      <c r="J416"/>
      <c r="K416"/>
      <c r="L416"/>
      <c r="M416"/>
      <c r="N416"/>
      <c r="O416"/>
      <c r="P416" s="104"/>
    </row>
    <row r="417" spans="1:16" ht="24" customHeight="1">
      <c r="A417" s="158"/>
      <c r="B417" s="192" t="s">
        <v>824</v>
      </c>
      <c r="C417" s="175" t="s">
        <v>828</v>
      </c>
      <c r="D417" s="160" t="s">
        <v>831</v>
      </c>
      <c r="E417" s="161"/>
      <c r="F417" s="162"/>
      <c r="H417" s="78"/>
      <c r="I417"/>
      <c r="J417"/>
      <c r="K417"/>
      <c r="L417"/>
      <c r="M417"/>
      <c r="N417"/>
      <c r="O417"/>
      <c r="P417"/>
    </row>
    <row r="418" spans="1:16" ht="24" customHeight="1">
      <c r="A418" s="203"/>
      <c r="B418" s="204"/>
      <c r="C418" s="175" t="s">
        <v>829</v>
      </c>
      <c r="D418" s="160"/>
      <c r="E418" s="161"/>
      <c r="F418" s="162"/>
      <c r="H418" s="78"/>
      <c r="I418" s="73"/>
      <c r="J418" s="73"/>
      <c r="K418" s="73"/>
      <c r="L418" s="73"/>
      <c r="M418" s="73"/>
      <c r="N418" s="73"/>
    </row>
    <row r="419" spans="1:16" ht="24" customHeight="1">
      <c r="A419" s="203"/>
      <c r="B419" s="204"/>
      <c r="C419" s="175" t="s">
        <v>830</v>
      </c>
      <c r="D419" s="160"/>
      <c r="E419" s="161"/>
      <c r="F419" s="162"/>
      <c r="I419" s="73"/>
      <c r="J419" s="73"/>
      <c r="K419" s="73"/>
      <c r="L419" s="73"/>
      <c r="M419" s="73"/>
      <c r="N419" s="73"/>
    </row>
    <row r="420" spans="1:16" ht="24" customHeight="1">
      <c r="A420" s="203"/>
      <c r="B420" s="204"/>
      <c r="C420" s="175" t="s">
        <v>389</v>
      </c>
      <c r="D420" s="160"/>
      <c r="E420" s="161"/>
      <c r="F420" s="162"/>
      <c r="H420" s="78"/>
      <c r="I420" s="73"/>
      <c r="J420" s="73"/>
      <c r="K420" s="73"/>
      <c r="L420" s="73"/>
      <c r="M420" s="73"/>
      <c r="N420" s="73"/>
    </row>
    <row r="421" spans="1:16" ht="24" customHeight="1">
      <c r="A421" s="273"/>
      <c r="B421" s="164"/>
      <c r="C421" s="181"/>
      <c r="D421" s="165"/>
      <c r="E421" s="166"/>
      <c r="F421" s="165"/>
      <c r="I421" s="73"/>
      <c r="J421" s="73"/>
      <c r="K421" s="73"/>
      <c r="L421" s="73"/>
      <c r="M421" s="73"/>
      <c r="N421" s="73"/>
    </row>
    <row r="422" spans="1:16" ht="24" customHeight="1">
      <c r="A422" s="199">
        <v>5</v>
      </c>
      <c r="B422" s="200" t="s">
        <v>832</v>
      </c>
      <c r="C422" s="196" t="s">
        <v>832</v>
      </c>
      <c r="D422" s="197" t="s">
        <v>72</v>
      </c>
      <c r="E422" s="201">
        <v>180000</v>
      </c>
      <c r="F422" s="197" t="s">
        <v>397</v>
      </c>
      <c r="H422" s="104"/>
      <c r="I422" s="73"/>
      <c r="J422" s="73"/>
      <c r="K422" s="73"/>
      <c r="L422" s="73"/>
      <c r="M422" s="73"/>
      <c r="N422" s="73"/>
    </row>
    <row r="423" spans="1:16" ht="24" customHeight="1">
      <c r="A423" s="203"/>
      <c r="B423" s="192" t="s">
        <v>833</v>
      </c>
      <c r="C423" s="175" t="s">
        <v>834</v>
      </c>
      <c r="D423" s="193" t="s">
        <v>833</v>
      </c>
      <c r="E423" s="161"/>
      <c r="F423" s="160"/>
      <c r="H423" s="78"/>
    </row>
    <row r="424" spans="1:16" ht="24" customHeight="1">
      <c r="A424" s="203"/>
      <c r="B424" s="204"/>
      <c r="C424" s="175" t="s">
        <v>835</v>
      </c>
      <c r="D424" s="160" t="s">
        <v>202</v>
      </c>
      <c r="E424" s="161"/>
      <c r="F424" s="160"/>
      <c r="H424" s="78"/>
    </row>
    <row r="425" spans="1:16" ht="24" customHeight="1">
      <c r="A425" s="203"/>
      <c r="B425" s="204"/>
      <c r="C425" s="175" t="s">
        <v>1478</v>
      </c>
      <c r="D425" s="160"/>
      <c r="E425" s="161"/>
      <c r="F425" s="160"/>
    </row>
    <row r="426" spans="1:16" ht="24" customHeight="1">
      <c r="A426" s="203"/>
      <c r="B426" s="204"/>
      <c r="C426" s="175" t="s">
        <v>350</v>
      </c>
      <c r="D426" s="193"/>
      <c r="E426" s="161"/>
      <c r="F426" s="160"/>
      <c r="H426" s="104"/>
      <c r="I426" s="104"/>
      <c r="J426"/>
      <c r="K426"/>
    </row>
    <row r="427" spans="1:16" s="104" customFormat="1" ht="24" customHeight="1">
      <c r="A427" s="206"/>
      <c r="B427" s="207"/>
      <c r="C427" s="181"/>
      <c r="D427" s="165"/>
      <c r="E427" s="166"/>
      <c r="F427" s="165"/>
      <c r="H427" s="78"/>
      <c r="I427"/>
      <c r="J427"/>
      <c r="K427"/>
    </row>
    <row r="428" spans="1:16" s="104" customFormat="1" ht="24" customHeight="1">
      <c r="A428" s="199">
        <v>6</v>
      </c>
      <c r="B428" s="200" t="s">
        <v>836</v>
      </c>
      <c r="C428" s="196" t="s">
        <v>838</v>
      </c>
      <c r="D428" s="197" t="s">
        <v>72</v>
      </c>
      <c r="E428" s="201">
        <v>280000</v>
      </c>
      <c r="F428" s="197" t="s">
        <v>397</v>
      </c>
      <c r="H428" s="78"/>
      <c r="I428"/>
      <c r="J428"/>
      <c r="K428"/>
    </row>
    <row r="429" spans="1:16" ht="24" customHeight="1">
      <c r="A429" s="203"/>
      <c r="B429" s="192" t="s">
        <v>837</v>
      </c>
      <c r="C429" s="175" t="s">
        <v>839</v>
      </c>
      <c r="D429" s="193" t="s">
        <v>833</v>
      </c>
      <c r="E429" s="161"/>
      <c r="F429" s="160"/>
      <c r="H429"/>
      <c r="I429"/>
      <c r="J429" s="104" t="s">
        <v>312</v>
      </c>
      <c r="K429" s="104"/>
    </row>
    <row r="430" spans="1:16" ht="24" customHeight="1">
      <c r="A430" s="226"/>
      <c r="B430" s="192"/>
      <c r="C430" s="271" t="s">
        <v>840</v>
      </c>
      <c r="D430" s="160" t="s">
        <v>202</v>
      </c>
      <c r="E430" s="176"/>
      <c r="F430" s="160"/>
      <c r="H430"/>
      <c r="I430"/>
      <c r="J430" s="104" t="s">
        <v>312</v>
      </c>
      <c r="K430" s="104" t="s">
        <v>312</v>
      </c>
    </row>
    <row r="431" spans="1:16" ht="24" customHeight="1">
      <c r="A431" s="203"/>
      <c r="B431" s="192"/>
      <c r="C431" s="160" t="s">
        <v>353</v>
      </c>
      <c r="D431" s="160"/>
      <c r="E431" s="161"/>
      <c r="F431" s="160"/>
      <c r="H431" s="104" t="s">
        <v>848</v>
      </c>
      <c r="I431"/>
      <c r="J431"/>
      <c r="K431"/>
    </row>
    <row r="432" spans="1:16" ht="24" customHeight="1">
      <c r="A432" s="203"/>
      <c r="B432" s="204"/>
      <c r="C432" s="160"/>
      <c r="D432" s="160"/>
      <c r="E432" s="161"/>
      <c r="F432" s="162"/>
      <c r="H432"/>
      <c r="I432"/>
      <c r="J432" s="104" t="s">
        <v>312</v>
      </c>
      <c r="K432" s="104"/>
    </row>
    <row r="433" spans="1:8" ht="24.95" customHeight="1">
      <c r="A433" s="206"/>
      <c r="B433" s="207"/>
      <c r="C433" s="165"/>
      <c r="D433" s="165"/>
      <c r="E433" s="166"/>
      <c r="F433" s="167"/>
      <c r="H433" s="36" t="s">
        <v>276</v>
      </c>
    </row>
    <row r="434" spans="1:8" s="57" customFormat="1" ht="24" customHeight="1">
      <c r="A434" s="75"/>
      <c r="B434" s="76"/>
      <c r="C434" s="56"/>
      <c r="D434" s="56"/>
      <c r="E434" s="141"/>
    </row>
    <row r="435" spans="1:8" ht="24" customHeight="1">
      <c r="A435" s="379" t="s">
        <v>841</v>
      </c>
      <c r="B435" s="379"/>
      <c r="C435" s="379"/>
      <c r="D435" s="379"/>
      <c r="E435" s="379"/>
      <c r="F435" s="379"/>
    </row>
    <row r="436" spans="1:8" ht="24" customHeight="1">
      <c r="A436" s="53"/>
      <c r="B436" s="53"/>
      <c r="C436" s="53"/>
      <c r="D436" s="53"/>
      <c r="E436" s="132"/>
      <c r="F436" s="53"/>
    </row>
    <row r="437" spans="1:8" ht="24" customHeight="1">
      <c r="A437" s="40" t="s">
        <v>41</v>
      </c>
      <c r="B437" s="40" t="s">
        <v>619</v>
      </c>
      <c r="C437" s="40" t="s">
        <v>620</v>
      </c>
      <c r="D437" s="40" t="s">
        <v>605</v>
      </c>
      <c r="E437" s="137" t="s">
        <v>31</v>
      </c>
      <c r="F437" s="40" t="s">
        <v>396</v>
      </c>
    </row>
    <row r="438" spans="1:8" ht="24" customHeight="1">
      <c r="A438" s="41" t="s">
        <v>40</v>
      </c>
      <c r="B438" s="41"/>
      <c r="C438" s="41"/>
      <c r="D438" s="41" t="s">
        <v>606</v>
      </c>
      <c r="E438" s="129"/>
      <c r="F438" s="42"/>
      <c r="H438" s="54"/>
    </row>
    <row r="439" spans="1:8" s="104" customFormat="1" ht="24" customHeight="1">
      <c r="A439" s="169"/>
      <c r="B439" s="169"/>
      <c r="C439" s="224" t="s">
        <v>842</v>
      </c>
      <c r="D439" s="169"/>
      <c r="E439" s="209"/>
      <c r="F439" s="157"/>
      <c r="H439" s="54"/>
    </row>
    <row r="440" spans="1:8" s="104" customFormat="1" ht="24" customHeight="1">
      <c r="A440" s="171"/>
      <c r="B440" s="171"/>
      <c r="C440" s="218" t="s">
        <v>843</v>
      </c>
      <c r="D440" s="171"/>
      <c r="E440" s="173"/>
      <c r="F440" s="162"/>
      <c r="H440" s="54"/>
    </row>
    <row r="441" spans="1:8" s="104" customFormat="1" ht="24" customHeight="1">
      <c r="A441" s="171"/>
      <c r="B441" s="171"/>
      <c r="C441" s="218" t="s">
        <v>844</v>
      </c>
      <c r="D441" s="171"/>
      <c r="E441" s="173"/>
      <c r="F441" s="162"/>
      <c r="H441" s="54"/>
    </row>
    <row r="442" spans="1:8" s="104" customFormat="1" ht="24" customHeight="1">
      <c r="A442" s="171"/>
      <c r="B442" s="171"/>
      <c r="C442" s="218" t="s">
        <v>845</v>
      </c>
      <c r="D442" s="171"/>
      <c r="E442" s="173"/>
      <c r="F442" s="162"/>
      <c r="H442" s="54"/>
    </row>
    <row r="443" spans="1:8" s="104" customFormat="1" ht="24" customHeight="1">
      <c r="A443" s="171"/>
      <c r="B443" s="171"/>
      <c r="C443" s="218" t="s">
        <v>852</v>
      </c>
      <c r="D443" s="171"/>
      <c r="E443" s="173"/>
      <c r="F443" s="162"/>
      <c r="H443" s="54"/>
    </row>
    <row r="444" spans="1:8" s="104" customFormat="1" ht="24" customHeight="1">
      <c r="A444" s="171"/>
      <c r="B444" s="171"/>
      <c r="C444" s="218" t="s">
        <v>846</v>
      </c>
      <c r="D444" s="171"/>
      <c r="E444" s="173"/>
      <c r="F444" s="162"/>
      <c r="H444" s="54"/>
    </row>
    <row r="445" spans="1:8" s="104" customFormat="1" ht="24" customHeight="1">
      <c r="A445" s="171"/>
      <c r="B445" s="171"/>
      <c r="C445" s="218" t="s">
        <v>847</v>
      </c>
      <c r="D445" s="171"/>
      <c r="E445" s="173"/>
      <c r="F445" s="162"/>
      <c r="H445" s="54"/>
    </row>
    <row r="446" spans="1:8" s="104" customFormat="1" ht="24" customHeight="1">
      <c r="A446" s="171"/>
      <c r="B446" s="171"/>
      <c r="C446" s="218" t="s">
        <v>853</v>
      </c>
      <c r="D446" s="171"/>
      <c r="E446" s="173"/>
      <c r="F446" s="162"/>
      <c r="H446" s="54"/>
    </row>
    <row r="447" spans="1:8" s="104" customFormat="1" ht="24" customHeight="1">
      <c r="A447" s="171"/>
      <c r="B447" s="171"/>
      <c r="C447" s="218" t="s">
        <v>849</v>
      </c>
      <c r="D447" s="171"/>
      <c r="E447" s="173"/>
      <c r="F447" s="162"/>
      <c r="H447" s="54"/>
    </row>
    <row r="448" spans="1:8" s="104" customFormat="1" ht="24" customHeight="1">
      <c r="A448" s="171"/>
      <c r="B448" s="171"/>
      <c r="C448" s="218" t="s">
        <v>854</v>
      </c>
      <c r="D448" s="171"/>
      <c r="E448" s="173"/>
      <c r="F448" s="162"/>
      <c r="H448" s="54"/>
    </row>
    <row r="449" spans="1:11" s="104" customFormat="1" ht="24" customHeight="1">
      <c r="A449" s="171"/>
      <c r="B449" s="171"/>
      <c r="C449" s="218" t="s">
        <v>855</v>
      </c>
      <c r="D449" s="171"/>
      <c r="E449" s="173"/>
      <c r="F449" s="162"/>
      <c r="H449" s="54"/>
    </row>
    <row r="450" spans="1:11" s="104" customFormat="1" ht="24" customHeight="1">
      <c r="A450" s="171"/>
      <c r="B450" s="171"/>
      <c r="C450" s="218" t="s">
        <v>850</v>
      </c>
      <c r="D450" s="171"/>
      <c r="E450" s="173"/>
      <c r="F450" s="162"/>
      <c r="H450" s="54"/>
    </row>
    <row r="451" spans="1:11" s="104" customFormat="1" ht="24" customHeight="1">
      <c r="A451" s="171"/>
      <c r="B451" s="171"/>
      <c r="C451" s="218" t="s">
        <v>851</v>
      </c>
      <c r="D451" s="171"/>
      <c r="E451" s="173"/>
      <c r="F451" s="162"/>
      <c r="H451" s="54"/>
    </row>
    <row r="452" spans="1:11" s="104" customFormat="1" ht="24" customHeight="1">
      <c r="A452" s="171"/>
      <c r="B452" s="171"/>
      <c r="C452" s="218" t="s">
        <v>856</v>
      </c>
      <c r="D452" s="171"/>
      <c r="E452" s="173"/>
      <c r="F452" s="162"/>
      <c r="H452" s="54"/>
    </row>
    <row r="453" spans="1:11" s="104" customFormat="1" ht="24" customHeight="1">
      <c r="A453" s="182"/>
      <c r="B453" s="182"/>
      <c r="C453" s="219"/>
      <c r="D453" s="182"/>
      <c r="E453" s="225"/>
      <c r="F453" s="167"/>
      <c r="H453" s="54"/>
    </row>
    <row r="454" spans="1:11" s="104" customFormat="1" ht="24" customHeight="1">
      <c r="A454" s="195">
        <v>7</v>
      </c>
      <c r="B454" s="238" t="s">
        <v>857</v>
      </c>
      <c r="C454" s="238" t="s">
        <v>858</v>
      </c>
      <c r="D454" s="238" t="s">
        <v>862</v>
      </c>
      <c r="E454" s="277">
        <v>10000000</v>
      </c>
      <c r="F454" s="238" t="s">
        <v>398</v>
      </c>
      <c r="I454"/>
      <c r="J454"/>
    </row>
    <row r="455" spans="1:11" s="104" customFormat="1" ht="24" customHeight="1">
      <c r="A455" s="171"/>
      <c r="B455" s="218"/>
      <c r="C455" s="218" t="s">
        <v>859</v>
      </c>
      <c r="D455" s="218" t="s">
        <v>182</v>
      </c>
      <c r="E455" s="173"/>
      <c r="F455" s="162" t="s">
        <v>618</v>
      </c>
      <c r="I455"/>
      <c r="J455"/>
      <c r="K455"/>
    </row>
    <row r="456" spans="1:11" s="104" customFormat="1" ht="24" customHeight="1">
      <c r="A456" s="171"/>
      <c r="B456" s="218"/>
      <c r="C456" s="218" t="s">
        <v>860</v>
      </c>
      <c r="D456" s="274"/>
      <c r="E456" s="173"/>
      <c r="F456" s="162"/>
      <c r="H456" s="54"/>
    </row>
    <row r="457" spans="1:11" s="104" customFormat="1" ht="24" customHeight="1">
      <c r="A457" s="171"/>
      <c r="B457" s="218"/>
      <c r="C457" s="218" t="s">
        <v>1435</v>
      </c>
      <c r="D457" s="274"/>
      <c r="E457" s="173"/>
      <c r="F457" s="162"/>
      <c r="H457" s="54"/>
    </row>
    <row r="458" spans="1:11" s="104" customFormat="1" ht="24" customHeight="1">
      <c r="A458" s="171"/>
      <c r="B458" s="218"/>
      <c r="C458" s="218" t="s">
        <v>861</v>
      </c>
      <c r="D458" s="274"/>
      <c r="E458" s="173"/>
      <c r="F458" s="162"/>
      <c r="H458" s="54"/>
    </row>
    <row r="459" spans="1:11" s="104" customFormat="1" ht="24" customHeight="1">
      <c r="A459" s="171"/>
      <c r="B459" s="218"/>
      <c r="C459" s="218" t="s">
        <v>224</v>
      </c>
      <c r="D459" s="274"/>
      <c r="E459" s="173"/>
      <c r="F459" s="162"/>
      <c r="H459" s="54"/>
    </row>
    <row r="460" spans="1:11" s="104" customFormat="1" ht="24" customHeight="1">
      <c r="A460" s="278"/>
      <c r="B460" s="244"/>
      <c r="C460" s="244"/>
      <c r="D460" s="279"/>
      <c r="E460" s="280"/>
      <c r="F460" s="234"/>
      <c r="H460" s="54"/>
    </row>
    <row r="461" spans="1:11" s="104" customFormat="1" ht="24" customHeight="1">
      <c r="A461" s="278"/>
      <c r="B461" s="244"/>
      <c r="C461" s="244"/>
      <c r="D461" s="279"/>
      <c r="E461" s="280"/>
      <c r="F461" s="234"/>
      <c r="H461" s="54"/>
    </row>
    <row r="462" spans="1:11" s="104" customFormat="1" ht="24" customHeight="1">
      <c r="A462" s="278"/>
      <c r="B462" s="244"/>
      <c r="C462" s="244"/>
      <c r="D462" s="279"/>
      <c r="E462" s="280"/>
      <c r="F462" s="234"/>
      <c r="H462" s="54"/>
    </row>
    <row r="463" spans="1:11" s="104" customFormat="1" ht="24" customHeight="1">
      <c r="A463" s="278"/>
      <c r="B463" s="244"/>
      <c r="C463" s="244"/>
      <c r="D463" s="279"/>
      <c r="E463" s="280"/>
      <c r="F463" s="234"/>
      <c r="H463" s="54"/>
    </row>
    <row r="464" spans="1:11" s="104" customFormat="1" ht="24" customHeight="1">
      <c r="A464" s="182"/>
      <c r="B464" s="219"/>
      <c r="C464" s="219"/>
      <c r="D464" s="275"/>
      <c r="E464" s="225"/>
      <c r="F464" s="167"/>
      <c r="H464" s="54"/>
    </row>
    <row r="465" spans="1:9" s="104" customFormat="1" ht="24" customHeight="1">
      <c r="A465" s="79"/>
      <c r="B465" s="216"/>
      <c r="C465" s="216"/>
      <c r="D465" s="281"/>
      <c r="E465" s="138"/>
      <c r="F465" s="57"/>
      <c r="H465" s="54"/>
    </row>
    <row r="466" spans="1:9" s="104" customFormat="1" ht="24" customHeight="1">
      <c r="A466" s="379" t="s">
        <v>865</v>
      </c>
      <c r="B466" s="379"/>
      <c r="C466" s="379"/>
      <c r="D466" s="379"/>
      <c r="E466" s="379"/>
      <c r="F466" s="379"/>
    </row>
    <row r="467" spans="1:9" s="104" customFormat="1" ht="24" customHeight="1">
      <c r="A467" s="215"/>
      <c r="B467" s="215"/>
      <c r="C467" s="215"/>
      <c r="D467" s="215"/>
      <c r="E467" s="132"/>
      <c r="F467" s="215"/>
    </row>
    <row r="468" spans="1:9" s="104" customFormat="1" ht="24" customHeight="1">
      <c r="A468" s="40" t="s">
        <v>41</v>
      </c>
      <c r="B468" s="40" t="s">
        <v>619</v>
      </c>
      <c r="C468" s="40" t="s">
        <v>620</v>
      </c>
      <c r="D468" s="40" t="s">
        <v>605</v>
      </c>
      <c r="E468" s="137" t="s">
        <v>31</v>
      </c>
      <c r="F468" s="40" t="s">
        <v>396</v>
      </c>
    </row>
    <row r="469" spans="1:9" s="104" customFormat="1" ht="24" customHeight="1">
      <c r="A469" s="41" t="s">
        <v>40</v>
      </c>
      <c r="B469" s="41"/>
      <c r="C469" s="41"/>
      <c r="D469" s="41" t="s">
        <v>606</v>
      </c>
      <c r="E469" s="129"/>
      <c r="F469" s="42"/>
      <c r="H469" s="54"/>
    </row>
    <row r="470" spans="1:9" ht="24" customHeight="1">
      <c r="A470" s="169"/>
      <c r="B470" s="170" t="s">
        <v>1311</v>
      </c>
      <c r="C470" s="256"/>
      <c r="D470" s="256"/>
      <c r="E470" s="228">
        <f>SUM(E471,E605)</f>
        <v>9720000</v>
      </c>
      <c r="F470" s="157"/>
    </row>
    <row r="471" spans="1:9" ht="24" customHeight="1">
      <c r="A471" s="171"/>
      <c r="B471" s="172" t="s">
        <v>23</v>
      </c>
      <c r="C471" s="171"/>
      <c r="D471" s="171"/>
      <c r="E471" s="173">
        <f>SUM(E472:E495,E501:E526,E532:E557,E563:E588,E594:E604)</f>
        <v>7520000</v>
      </c>
      <c r="F471" s="162"/>
    </row>
    <row r="472" spans="1:9" s="104" customFormat="1" ht="24" customHeight="1">
      <c r="A472" s="174">
        <v>1</v>
      </c>
      <c r="B472" s="237" t="s">
        <v>866</v>
      </c>
      <c r="C472" s="218" t="s">
        <v>868</v>
      </c>
      <c r="D472" s="197" t="s">
        <v>402</v>
      </c>
      <c r="E472" s="202">
        <v>200000</v>
      </c>
      <c r="F472" s="162" t="s">
        <v>397</v>
      </c>
      <c r="H472" s="74"/>
      <c r="I472" s="74"/>
    </row>
    <row r="473" spans="1:9" s="104" customFormat="1" ht="24" customHeight="1">
      <c r="A473" s="171"/>
      <c r="B473" s="237" t="s">
        <v>867</v>
      </c>
      <c r="C473" s="218" t="s">
        <v>869</v>
      </c>
      <c r="D473" s="160" t="s">
        <v>37</v>
      </c>
      <c r="E473" s="173"/>
      <c r="F473" s="162"/>
      <c r="H473" s="45"/>
      <c r="I473" s="282"/>
    </row>
    <row r="474" spans="1:9" s="104" customFormat="1" ht="24" customHeight="1">
      <c r="A474" s="171"/>
      <c r="B474" s="237"/>
      <c r="C474" s="218" t="s">
        <v>870</v>
      </c>
      <c r="D474" s="218"/>
      <c r="E474" s="173"/>
      <c r="F474" s="162"/>
    </row>
    <row r="475" spans="1:9" s="104" customFormat="1" ht="24" customHeight="1">
      <c r="A475" s="171"/>
      <c r="B475" s="237"/>
      <c r="C475" s="218" t="s">
        <v>871</v>
      </c>
      <c r="D475" s="218"/>
      <c r="E475" s="173"/>
      <c r="F475" s="162"/>
    </row>
    <row r="476" spans="1:9" s="104" customFormat="1" ht="24" customHeight="1">
      <c r="A476" s="171"/>
      <c r="B476" s="237"/>
      <c r="C476" s="218" t="s">
        <v>872</v>
      </c>
      <c r="D476" s="218"/>
      <c r="E476" s="173"/>
      <c r="F476" s="162"/>
    </row>
    <row r="477" spans="1:9" s="104" customFormat="1" ht="24" customHeight="1">
      <c r="A477" s="171"/>
      <c r="B477" s="237"/>
      <c r="C477" s="218" t="s">
        <v>643</v>
      </c>
      <c r="D477" s="218"/>
      <c r="E477" s="173"/>
      <c r="F477" s="162"/>
    </row>
    <row r="478" spans="1:9" s="104" customFormat="1" ht="24" customHeight="1">
      <c r="A478" s="182"/>
      <c r="B478" s="283"/>
      <c r="C478" s="219"/>
      <c r="D478" s="219"/>
      <c r="E478" s="225"/>
      <c r="F478" s="167"/>
    </row>
    <row r="479" spans="1:9" ht="24" customHeight="1">
      <c r="A479" s="190">
        <v>2</v>
      </c>
      <c r="B479" s="168" t="s">
        <v>269</v>
      </c>
      <c r="C479" s="155" t="s">
        <v>270</v>
      </c>
      <c r="D479" s="155" t="s">
        <v>402</v>
      </c>
      <c r="E479" s="156">
        <v>300000</v>
      </c>
      <c r="F479" s="155" t="s">
        <v>397</v>
      </c>
      <c r="G479" s="56"/>
      <c r="H479" s="57"/>
    </row>
    <row r="480" spans="1:9" ht="24" customHeight="1">
      <c r="A480" s="203"/>
      <c r="B480" s="204"/>
      <c r="C480" s="160" t="s">
        <v>271</v>
      </c>
      <c r="D480" s="160" t="s">
        <v>37</v>
      </c>
      <c r="E480" s="161"/>
      <c r="F480" s="162"/>
    </row>
    <row r="481" spans="1:8" ht="24" customHeight="1">
      <c r="A481" s="158"/>
      <c r="B481" s="192"/>
      <c r="C481" s="160" t="s">
        <v>272</v>
      </c>
      <c r="D481" s="175"/>
      <c r="E481" s="161"/>
      <c r="F481" s="162"/>
    </row>
    <row r="482" spans="1:8" ht="24" customHeight="1">
      <c r="A482" s="158"/>
      <c r="B482" s="192"/>
      <c r="C482" s="160" t="s">
        <v>356</v>
      </c>
      <c r="D482" s="160"/>
      <c r="E482" s="161"/>
      <c r="F482" s="162"/>
    </row>
    <row r="483" spans="1:8" ht="24" customHeight="1">
      <c r="A483" s="171"/>
      <c r="B483" s="284"/>
      <c r="C483" s="175" t="s">
        <v>357</v>
      </c>
      <c r="D483" s="229"/>
      <c r="E483" s="173"/>
      <c r="F483" s="162"/>
      <c r="H483" s="54"/>
    </row>
    <row r="484" spans="1:8" ht="24" customHeight="1">
      <c r="A484" s="171"/>
      <c r="B484" s="284"/>
      <c r="C484" s="175" t="s">
        <v>358</v>
      </c>
      <c r="D484" s="229"/>
      <c r="E484" s="173"/>
      <c r="F484" s="162"/>
      <c r="H484" s="54"/>
    </row>
    <row r="485" spans="1:8" ht="24" customHeight="1">
      <c r="A485" s="171"/>
      <c r="B485" s="284"/>
      <c r="C485" s="175" t="s">
        <v>359</v>
      </c>
      <c r="D485" s="229"/>
      <c r="E485" s="173"/>
      <c r="F485" s="162"/>
      <c r="H485" s="54"/>
    </row>
    <row r="486" spans="1:8" s="104" customFormat="1" ht="24" customHeight="1">
      <c r="A486" s="278"/>
      <c r="B486" s="362"/>
      <c r="C486" s="231"/>
      <c r="D486" s="363"/>
      <c r="E486" s="280"/>
      <c r="F486" s="234"/>
      <c r="H486" s="54"/>
    </row>
    <row r="487" spans="1:8" ht="24" customHeight="1">
      <c r="A487" s="163"/>
      <c r="B487" s="164"/>
      <c r="C487" s="165"/>
      <c r="D487" s="261"/>
      <c r="E487" s="166"/>
      <c r="F487" s="167"/>
    </row>
    <row r="488" spans="1:8" ht="24" customHeight="1">
      <c r="A488" s="199">
        <v>3</v>
      </c>
      <c r="B488" s="200" t="s">
        <v>873</v>
      </c>
      <c r="C488" s="197" t="s">
        <v>257</v>
      </c>
      <c r="D488" s="197" t="s">
        <v>402</v>
      </c>
      <c r="E488" s="198">
        <v>500000</v>
      </c>
      <c r="F488" s="197" t="s">
        <v>397</v>
      </c>
    </row>
    <row r="489" spans="1:8" ht="24" customHeight="1">
      <c r="A489" s="158"/>
      <c r="B489" s="192" t="s">
        <v>874</v>
      </c>
      <c r="C489" s="160" t="s">
        <v>262</v>
      </c>
      <c r="D489" s="160" t="s">
        <v>37</v>
      </c>
      <c r="E489" s="161"/>
      <c r="F489" s="162"/>
    </row>
    <row r="490" spans="1:8" ht="24" customHeight="1">
      <c r="A490" s="158"/>
      <c r="B490" s="192" t="s">
        <v>37</v>
      </c>
      <c r="C490" s="160" t="s">
        <v>263</v>
      </c>
      <c r="D490" s="160"/>
      <c r="E490" s="161"/>
      <c r="F490" s="162"/>
    </row>
    <row r="491" spans="1:8" ht="24" customHeight="1">
      <c r="A491" s="158"/>
      <c r="B491" s="192"/>
      <c r="C491" s="193" t="s">
        <v>264</v>
      </c>
      <c r="D491" s="160"/>
      <c r="E491" s="161"/>
      <c r="F491" s="162"/>
    </row>
    <row r="492" spans="1:8" ht="24" customHeight="1">
      <c r="A492" s="158"/>
      <c r="B492" s="192"/>
      <c r="C492" s="193" t="s">
        <v>265</v>
      </c>
      <c r="D492" s="160"/>
      <c r="E492" s="161"/>
      <c r="F492" s="162"/>
    </row>
    <row r="493" spans="1:8" ht="24" customHeight="1">
      <c r="A493" s="158"/>
      <c r="B493" s="192"/>
      <c r="C493" s="160"/>
      <c r="D493" s="160"/>
      <c r="E493" s="161"/>
      <c r="F493" s="162"/>
    </row>
    <row r="494" spans="1:8" s="104" customFormat="1" ht="24" customHeight="1">
      <c r="A494" s="158"/>
      <c r="B494" s="192"/>
      <c r="C494" s="160"/>
      <c r="D494" s="160"/>
      <c r="E494" s="161"/>
      <c r="F494" s="162"/>
    </row>
    <row r="495" spans="1:8" s="104" customFormat="1" ht="24" customHeight="1">
      <c r="A495" s="163"/>
      <c r="B495" s="164"/>
      <c r="C495" s="165"/>
      <c r="D495" s="165"/>
      <c r="E495" s="166"/>
      <c r="F495" s="167"/>
    </row>
    <row r="496" spans="1:8" s="104" customFormat="1" ht="24" customHeight="1">
      <c r="A496" s="48"/>
      <c r="B496" s="69"/>
      <c r="C496" s="51"/>
      <c r="D496" s="51"/>
      <c r="E496" s="131"/>
      <c r="F496" s="52"/>
    </row>
    <row r="497" spans="1:8" s="104" customFormat="1" ht="24" customHeight="1">
      <c r="A497" s="379" t="s">
        <v>877</v>
      </c>
      <c r="B497" s="379"/>
      <c r="C497" s="379"/>
      <c r="D497" s="379"/>
      <c r="E497" s="379"/>
      <c r="F497" s="379"/>
    </row>
    <row r="498" spans="1:8" s="104" customFormat="1" ht="24" customHeight="1">
      <c r="A498" s="215"/>
      <c r="B498" s="215"/>
      <c r="C498" s="215"/>
      <c r="D498" s="215"/>
      <c r="E498" s="132"/>
      <c r="F498" s="215"/>
    </row>
    <row r="499" spans="1:8" s="104" customFormat="1" ht="24" customHeight="1">
      <c r="A499" s="40" t="s">
        <v>41</v>
      </c>
      <c r="B499" s="40" t="s">
        <v>619</v>
      </c>
      <c r="C499" s="40" t="s">
        <v>620</v>
      </c>
      <c r="D499" s="40" t="s">
        <v>605</v>
      </c>
      <c r="E499" s="137" t="s">
        <v>31</v>
      </c>
      <c r="F499" s="40" t="s">
        <v>396</v>
      </c>
    </row>
    <row r="500" spans="1:8" s="104" customFormat="1" ht="24" customHeight="1">
      <c r="A500" s="41" t="s">
        <v>40</v>
      </c>
      <c r="B500" s="41"/>
      <c r="C500" s="41"/>
      <c r="D500" s="41" t="s">
        <v>606</v>
      </c>
      <c r="E500" s="129"/>
      <c r="F500" s="42"/>
      <c r="H500" s="54"/>
    </row>
    <row r="501" spans="1:8" ht="24" customHeight="1">
      <c r="A501" s="190">
        <v>4</v>
      </c>
      <c r="B501" s="168" t="s">
        <v>875</v>
      </c>
      <c r="C501" s="155" t="s">
        <v>257</v>
      </c>
      <c r="D501" s="155" t="s">
        <v>402</v>
      </c>
      <c r="E501" s="156">
        <v>300000</v>
      </c>
      <c r="F501" s="155" t="s">
        <v>397</v>
      </c>
    </row>
    <row r="502" spans="1:8" ht="24" customHeight="1">
      <c r="A502" s="158"/>
      <c r="B502" s="192" t="s">
        <v>876</v>
      </c>
      <c r="C502" s="160" t="s">
        <v>256</v>
      </c>
      <c r="D502" s="160" t="s">
        <v>37</v>
      </c>
      <c r="E502" s="161"/>
      <c r="F502" s="162"/>
    </row>
    <row r="503" spans="1:8" ht="24" customHeight="1">
      <c r="A503" s="158"/>
      <c r="B503" s="192"/>
      <c r="C503" s="160" t="s">
        <v>258</v>
      </c>
      <c r="D503" s="160"/>
      <c r="E503" s="161"/>
      <c r="F503" s="162"/>
    </row>
    <row r="504" spans="1:8" ht="24" customHeight="1">
      <c r="A504" s="158"/>
      <c r="B504" s="192"/>
      <c r="C504" s="160" t="s">
        <v>259</v>
      </c>
      <c r="D504" s="160"/>
      <c r="E504" s="161"/>
      <c r="F504" s="162"/>
    </row>
    <row r="505" spans="1:8" ht="24" customHeight="1">
      <c r="A505" s="158"/>
      <c r="B505" s="159"/>
      <c r="C505" s="160" t="s">
        <v>260</v>
      </c>
      <c r="D505" s="160"/>
      <c r="E505" s="161"/>
      <c r="F505" s="162"/>
    </row>
    <row r="506" spans="1:8" ht="24" customHeight="1">
      <c r="A506" s="158"/>
      <c r="B506" s="192"/>
      <c r="C506" s="160" t="s">
        <v>261</v>
      </c>
      <c r="D506" s="160"/>
      <c r="E506" s="161"/>
      <c r="F506" s="162"/>
    </row>
    <row r="507" spans="1:8" ht="24" customHeight="1">
      <c r="A507" s="163"/>
      <c r="B507" s="164"/>
      <c r="C507" s="165"/>
      <c r="D507" s="165"/>
      <c r="E507" s="166"/>
      <c r="F507" s="167"/>
    </row>
    <row r="508" spans="1:8" ht="24" customHeight="1">
      <c r="A508" s="226">
        <v>5</v>
      </c>
      <c r="B508" s="192" t="s">
        <v>878</v>
      </c>
      <c r="C508" s="175" t="s">
        <v>882</v>
      </c>
      <c r="D508" s="160" t="s">
        <v>564</v>
      </c>
      <c r="E508" s="161">
        <v>500000</v>
      </c>
      <c r="F508" s="160" t="s">
        <v>397</v>
      </c>
    </row>
    <row r="509" spans="1:8" ht="24" customHeight="1">
      <c r="A509" s="158"/>
      <c r="B509" s="192" t="s">
        <v>879</v>
      </c>
      <c r="C509" s="193" t="s">
        <v>27</v>
      </c>
      <c r="D509" s="160" t="s">
        <v>863</v>
      </c>
      <c r="E509" s="202"/>
      <c r="F509" s="162"/>
    </row>
    <row r="510" spans="1:8" s="104" customFormat="1" ht="24" customHeight="1">
      <c r="A510" s="158"/>
      <c r="B510" s="192"/>
      <c r="C510" s="193" t="s">
        <v>883</v>
      </c>
      <c r="D510" s="160" t="s">
        <v>864</v>
      </c>
      <c r="E510" s="202"/>
      <c r="F510" s="162"/>
    </row>
    <row r="511" spans="1:8" ht="24" customHeight="1">
      <c r="A511" s="158"/>
      <c r="B511" s="192"/>
      <c r="C511" s="160" t="s">
        <v>881</v>
      </c>
      <c r="D511" s="160" t="s">
        <v>223</v>
      </c>
      <c r="E511" s="161"/>
      <c r="F511" s="162"/>
    </row>
    <row r="512" spans="1:8" s="104" customFormat="1" ht="24" customHeight="1">
      <c r="A512" s="158"/>
      <c r="B512" s="192"/>
      <c r="C512" s="160" t="s">
        <v>884</v>
      </c>
      <c r="D512" s="160"/>
      <c r="E512" s="161"/>
      <c r="F512" s="162"/>
    </row>
    <row r="513" spans="1:12" ht="24" customHeight="1">
      <c r="A513" s="158"/>
      <c r="B513" s="192"/>
      <c r="C513" s="160" t="s">
        <v>880</v>
      </c>
      <c r="D513" s="160"/>
      <c r="E513" s="161"/>
      <c r="F513" s="162"/>
    </row>
    <row r="514" spans="1:12" ht="24" customHeight="1">
      <c r="A514" s="158"/>
      <c r="B514" s="192"/>
      <c r="C514" s="160" t="s">
        <v>885</v>
      </c>
      <c r="D514" s="160"/>
      <c r="E514" s="161"/>
      <c r="F514" s="162"/>
    </row>
    <row r="515" spans="1:12" s="104" customFormat="1" ht="24" customHeight="1">
      <c r="A515" s="158"/>
      <c r="B515" s="192"/>
      <c r="C515" s="193" t="s">
        <v>886</v>
      </c>
      <c r="D515" s="160"/>
      <c r="E515" s="161"/>
      <c r="F515" s="162"/>
    </row>
    <row r="516" spans="1:12" ht="24" customHeight="1">
      <c r="A516" s="158"/>
      <c r="B516" s="192"/>
      <c r="C516" s="193" t="s">
        <v>887</v>
      </c>
      <c r="D516" s="160"/>
      <c r="E516" s="161"/>
      <c r="F516" s="162"/>
    </row>
    <row r="517" spans="1:12" ht="24" customHeight="1">
      <c r="A517" s="158"/>
      <c r="B517" s="192"/>
      <c r="C517" s="193" t="s">
        <v>888</v>
      </c>
      <c r="D517" s="160"/>
      <c r="E517" s="161"/>
      <c r="F517" s="162"/>
    </row>
    <row r="518" spans="1:12" s="104" customFormat="1" ht="24" customHeight="1">
      <c r="A518" s="158"/>
      <c r="B518" s="192"/>
      <c r="C518" s="193" t="s">
        <v>889</v>
      </c>
      <c r="D518" s="160"/>
      <c r="E518" s="161"/>
      <c r="F518" s="162"/>
    </row>
    <row r="519" spans="1:12" ht="24" customHeight="1">
      <c r="A519" s="158"/>
      <c r="B519" s="192"/>
      <c r="C519" s="193" t="s">
        <v>890</v>
      </c>
      <c r="D519" s="160"/>
      <c r="E519" s="161"/>
      <c r="F519" s="162"/>
    </row>
    <row r="520" spans="1:12" s="104" customFormat="1" ht="24" customHeight="1">
      <c r="A520" s="163"/>
      <c r="B520" s="164"/>
      <c r="C520" s="261"/>
      <c r="D520" s="165"/>
      <c r="E520" s="166"/>
      <c r="F520" s="167"/>
    </row>
    <row r="521" spans="1:12" s="104" customFormat="1" ht="24" customHeight="1">
      <c r="A521" s="199">
        <v>6</v>
      </c>
      <c r="B521" s="200" t="s">
        <v>892</v>
      </c>
      <c r="C521" s="272" t="s">
        <v>894</v>
      </c>
      <c r="D521" s="160" t="s">
        <v>564</v>
      </c>
      <c r="E521" s="201">
        <v>100000</v>
      </c>
      <c r="F521" s="286" t="s">
        <v>397</v>
      </c>
      <c r="H521" s="78"/>
      <c r="I521" s="282"/>
      <c r="J521" s="282"/>
      <c r="K521" s="78"/>
      <c r="L521" s="78"/>
    </row>
    <row r="522" spans="1:12" ht="24" customHeight="1">
      <c r="A522" s="158"/>
      <c r="B522" s="192" t="s">
        <v>893</v>
      </c>
      <c r="C522" s="193" t="s">
        <v>895</v>
      </c>
      <c r="D522" s="160" t="s">
        <v>638</v>
      </c>
      <c r="E522" s="161"/>
      <c r="F522" s="162"/>
      <c r="H522" s="45"/>
      <c r="I522" s="282"/>
      <c r="J522" s="282"/>
      <c r="K522" s="282"/>
      <c r="L522" s="282"/>
    </row>
    <row r="523" spans="1:12" s="104" customFormat="1" ht="24" customHeight="1">
      <c r="A523" s="285"/>
      <c r="B523" s="200"/>
      <c r="C523" s="272" t="s">
        <v>896</v>
      </c>
      <c r="D523" s="160" t="s">
        <v>608</v>
      </c>
      <c r="E523" s="201"/>
      <c r="F523" s="286"/>
      <c r="H523" s="45"/>
      <c r="I523" s="282"/>
      <c r="J523" s="282"/>
      <c r="K523" s="282"/>
      <c r="L523" s="282"/>
    </row>
    <row r="524" spans="1:12" s="104" customFormat="1" ht="24" customHeight="1">
      <c r="A524" s="285"/>
      <c r="B524" s="200"/>
      <c r="C524" s="272" t="s">
        <v>897</v>
      </c>
      <c r="D524" s="160" t="s">
        <v>609</v>
      </c>
      <c r="E524" s="201"/>
      <c r="F524" s="286"/>
      <c r="H524" s="45"/>
      <c r="I524" s="282"/>
      <c r="J524" s="282"/>
      <c r="K524" s="282"/>
      <c r="L524" s="282"/>
    </row>
    <row r="525" spans="1:12" s="104" customFormat="1" ht="24" customHeight="1">
      <c r="A525" s="285"/>
      <c r="B525" s="200"/>
      <c r="C525" s="272"/>
      <c r="D525" s="197"/>
      <c r="E525" s="201"/>
      <c r="F525" s="286"/>
      <c r="H525" s="45"/>
      <c r="I525" s="282"/>
      <c r="J525" s="282"/>
      <c r="K525" s="282"/>
      <c r="L525" s="282"/>
    </row>
    <row r="526" spans="1:12" s="104" customFormat="1" ht="24" customHeight="1">
      <c r="A526" s="163"/>
      <c r="B526" s="164"/>
      <c r="C526" s="261"/>
      <c r="D526" s="165"/>
      <c r="E526" s="166"/>
      <c r="F526" s="167"/>
      <c r="H526" s="45"/>
      <c r="I526" s="282"/>
      <c r="J526" s="282"/>
      <c r="K526" s="282"/>
      <c r="L526" s="282"/>
    </row>
    <row r="527" spans="1:12" s="104" customFormat="1" ht="24" customHeight="1">
      <c r="A527" s="48"/>
      <c r="B527" s="69"/>
      <c r="C527" s="51"/>
      <c r="D527" s="51"/>
      <c r="E527" s="131"/>
      <c r="F527" s="52"/>
      <c r="H527" s="45"/>
      <c r="I527" s="282"/>
      <c r="J527" s="282"/>
      <c r="K527" s="282"/>
      <c r="L527" s="282"/>
    </row>
    <row r="528" spans="1:12" ht="24" customHeight="1">
      <c r="A528" s="379" t="s">
        <v>898</v>
      </c>
      <c r="B528" s="379"/>
      <c r="C528" s="379"/>
      <c r="D528" s="379"/>
      <c r="E528" s="379"/>
      <c r="F528" s="379"/>
    </row>
    <row r="529" spans="1:12" s="104" customFormat="1" ht="24" customHeight="1">
      <c r="A529" s="215"/>
      <c r="B529" s="215"/>
      <c r="C529" s="215"/>
      <c r="D529" s="215"/>
      <c r="E529" s="215"/>
      <c r="F529" s="215"/>
    </row>
    <row r="530" spans="1:12" ht="24" customHeight="1">
      <c r="A530" s="40" t="s">
        <v>41</v>
      </c>
      <c r="B530" s="40" t="s">
        <v>619</v>
      </c>
      <c r="C530" s="40" t="s">
        <v>620</v>
      </c>
      <c r="D530" s="40" t="s">
        <v>605</v>
      </c>
      <c r="E530" s="137" t="s">
        <v>31</v>
      </c>
      <c r="F530" s="40" t="s">
        <v>396</v>
      </c>
    </row>
    <row r="531" spans="1:12" ht="24" customHeight="1">
      <c r="A531" s="41" t="s">
        <v>40</v>
      </c>
      <c r="B531" s="41"/>
      <c r="C531" s="41"/>
      <c r="D531" s="41" t="s">
        <v>606</v>
      </c>
      <c r="E531" s="129"/>
      <c r="F531" s="42"/>
      <c r="H531" s="54"/>
    </row>
    <row r="532" spans="1:12" s="104" customFormat="1" ht="24" customHeight="1">
      <c r="A532" s="184">
        <v>7</v>
      </c>
      <c r="B532" s="224" t="s">
        <v>899</v>
      </c>
      <c r="C532" s="224" t="s">
        <v>900</v>
      </c>
      <c r="D532" s="155" t="s">
        <v>564</v>
      </c>
      <c r="E532" s="287">
        <v>100000</v>
      </c>
      <c r="F532" s="224" t="s">
        <v>397</v>
      </c>
      <c r="H532" s="74"/>
      <c r="I532"/>
      <c r="J532"/>
      <c r="K532" s="86" t="s">
        <v>891</v>
      </c>
      <c r="L532" s="86" t="s">
        <v>1322</v>
      </c>
    </row>
    <row r="533" spans="1:12" s="104" customFormat="1" ht="24" customHeight="1">
      <c r="A533" s="171"/>
      <c r="B533" s="218" t="s">
        <v>255</v>
      </c>
      <c r="C533" s="218" t="s">
        <v>901</v>
      </c>
      <c r="D533" s="160" t="s">
        <v>638</v>
      </c>
      <c r="E533" s="173"/>
      <c r="F533" s="162"/>
      <c r="H533" s="45"/>
      <c r="I533"/>
      <c r="J533"/>
      <c r="K533"/>
      <c r="L533"/>
    </row>
    <row r="534" spans="1:12" s="104" customFormat="1" ht="24" customHeight="1">
      <c r="A534" s="171"/>
      <c r="B534" s="171"/>
      <c r="C534" s="218" t="s">
        <v>902</v>
      </c>
      <c r="D534" s="160" t="s">
        <v>608</v>
      </c>
      <c r="E534" s="173"/>
      <c r="F534" s="162"/>
      <c r="H534" s="54"/>
    </row>
    <row r="535" spans="1:12" s="104" customFormat="1" ht="24" customHeight="1">
      <c r="A535" s="171"/>
      <c r="B535" s="171"/>
      <c r="C535" s="218" t="s">
        <v>903</v>
      </c>
      <c r="D535" s="160" t="s">
        <v>609</v>
      </c>
      <c r="E535" s="173"/>
      <c r="F535" s="162"/>
      <c r="H535" s="54"/>
    </row>
    <row r="536" spans="1:12" s="104" customFormat="1" ht="24" customHeight="1">
      <c r="A536" s="171"/>
      <c r="B536" s="171"/>
      <c r="C536" s="218" t="s">
        <v>904</v>
      </c>
      <c r="D536" s="171"/>
      <c r="E536" s="173"/>
      <c r="F536" s="162"/>
      <c r="H536" s="54"/>
    </row>
    <row r="537" spans="1:12" s="104" customFormat="1" ht="24" customHeight="1">
      <c r="A537" s="182"/>
      <c r="B537" s="182"/>
      <c r="C537" s="182"/>
      <c r="D537" s="182"/>
      <c r="E537" s="225"/>
      <c r="F537" s="167"/>
      <c r="H537" s="54"/>
    </row>
    <row r="538" spans="1:12" ht="24" customHeight="1">
      <c r="A538" s="190">
        <v>8</v>
      </c>
      <c r="B538" s="168" t="s">
        <v>273</v>
      </c>
      <c r="C538" s="155" t="s">
        <v>905</v>
      </c>
      <c r="D538" s="155" t="s">
        <v>564</v>
      </c>
      <c r="E538" s="156">
        <v>1200000</v>
      </c>
      <c r="F538" s="155" t="s">
        <v>397</v>
      </c>
    </row>
    <row r="539" spans="1:12" ht="24" customHeight="1">
      <c r="A539" s="158"/>
      <c r="B539" s="192" t="s">
        <v>274</v>
      </c>
      <c r="C539" s="160" t="s">
        <v>362</v>
      </c>
      <c r="D539" s="160" t="s">
        <v>638</v>
      </c>
      <c r="E539" s="161"/>
      <c r="F539" s="162"/>
    </row>
    <row r="540" spans="1:12" ht="24" customHeight="1">
      <c r="A540" s="158"/>
      <c r="B540" s="192"/>
      <c r="C540" s="193" t="s">
        <v>906</v>
      </c>
      <c r="D540" s="160" t="s">
        <v>608</v>
      </c>
      <c r="E540" s="161"/>
      <c r="F540" s="162"/>
    </row>
    <row r="541" spans="1:12" ht="24" customHeight="1">
      <c r="A541" s="158"/>
      <c r="B541" s="192"/>
      <c r="C541" s="193" t="s">
        <v>907</v>
      </c>
      <c r="D541" s="160" t="s">
        <v>609</v>
      </c>
      <c r="E541" s="161"/>
      <c r="F541" s="162"/>
    </row>
    <row r="542" spans="1:12" s="104" customFormat="1" ht="24" customHeight="1">
      <c r="A542" s="158"/>
      <c r="B542" s="192"/>
      <c r="C542" s="193" t="s">
        <v>908</v>
      </c>
      <c r="D542" s="171"/>
      <c r="E542" s="161"/>
      <c r="F542" s="162"/>
    </row>
    <row r="543" spans="1:12" s="104" customFormat="1" ht="24" customHeight="1">
      <c r="A543" s="158"/>
      <c r="B543" s="192"/>
      <c r="C543" s="193"/>
      <c r="D543" s="160"/>
      <c r="E543" s="161"/>
      <c r="F543" s="162"/>
      <c r="H543" s="74"/>
      <c r="I543" s="282"/>
      <c r="J543" s="282"/>
      <c r="K543" s="74"/>
    </row>
    <row r="544" spans="1:12" ht="24" customHeight="1">
      <c r="A544" s="163"/>
      <c r="B544" s="164"/>
      <c r="C544" s="261"/>
      <c r="D544" s="165"/>
      <c r="E544" s="166"/>
      <c r="F544" s="167"/>
      <c r="H544" s="45"/>
      <c r="I544" s="282"/>
      <c r="J544" s="282"/>
      <c r="K544" s="282"/>
    </row>
    <row r="545" spans="1:14" s="104" customFormat="1" ht="24" customHeight="1">
      <c r="A545" s="190">
        <v>9</v>
      </c>
      <c r="B545" s="168" t="s">
        <v>909</v>
      </c>
      <c r="C545" s="252" t="s">
        <v>911</v>
      </c>
      <c r="D545" s="155" t="s">
        <v>607</v>
      </c>
      <c r="E545" s="156">
        <v>300000</v>
      </c>
      <c r="F545" s="155" t="s">
        <v>397</v>
      </c>
      <c r="H545" s="45"/>
      <c r="I545" s="282"/>
      <c r="J545" s="282"/>
      <c r="K545" s="282"/>
    </row>
    <row r="546" spans="1:14" s="104" customFormat="1" ht="24" customHeight="1">
      <c r="A546" s="158"/>
      <c r="B546" s="192" t="s">
        <v>910</v>
      </c>
      <c r="C546" s="193" t="s">
        <v>912</v>
      </c>
      <c r="D546" s="160" t="s">
        <v>402</v>
      </c>
      <c r="E546" s="161"/>
      <c r="F546" s="162"/>
      <c r="H546" s="45"/>
      <c r="I546" s="282"/>
      <c r="J546" s="282"/>
      <c r="K546" s="282"/>
    </row>
    <row r="547" spans="1:14" s="104" customFormat="1" ht="24" customHeight="1">
      <c r="A547" s="158"/>
      <c r="B547" s="192"/>
      <c r="C547" s="193" t="s">
        <v>913</v>
      </c>
      <c r="D547" s="160" t="s">
        <v>37</v>
      </c>
      <c r="E547" s="161"/>
      <c r="F547" s="162"/>
      <c r="H547" s="45"/>
      <c r="I547" s="282"/>
      <c r="J547" s="282"/>
      <c r="K547" s="282"/>
    </row>
    <row r="548" spans="1:14" s="104" customFormat="1" ht="24" customHeight="1">
      <c r="A548" s="163"/>
      <c r="B548" s="164"/>
      <c r="C548" s="261"/>
      <c r="D548" s="165"/>
      <c r="E548" s="166"/>
      <c r="F548" s="167"/>
      <c r="H548" s="45"/>
      <c r="I548" s="282"/>
      <c r="J548" s="282"/>
      <c r="K548" s="282"/>
    </row>
    <row r="549" spans="1:14" ht="24" customHeight="1">
      <c r="A549" s="184">
        <v>10</v>
      </c>
      <c r="B549" s="185" t="s">
        <v>275</v>
      </c>
      <c r="C549" s="185" t="s">
        <v>914</v>
      </c>
      <c r="D549" s="155" t="s">
        <v>564</v>
      </c>
      <c r="E549" s="186">
        <v>200000</v>
      </c>
      <c r="F549" s="155" t="s">
        <v>397</v>
      </c>
      <c r="H549" s="54"/>
    </row>
    <row r="550" spans="1:14" ht="24" customHeight="1">
      <c r="A550" s="158"/>
      <c r="B550" s="192"/>
      <c r="C550" s="175" t="s">
        <v>915</v>
      </c>
      <c r="D550" s="160" t="s">
        <v>638</v>
      </c>
      <c r="E550" s="161"/>
      <c r="F550" s="162"/>
      <c r="H550" s="64"/>
      <c r="I550" s="64" t="s">
        <v>917</v>
      </c>
      <c r="J550" s="282"/>
      <c r="K550" s="64"/>
    </row>
    <row r="551" spans="1:14" ht="24" customHeight="1">
      <c r="A551" s="158"/>
      <c r="B551" s="192"/>
      <c r="C551" s="175" t="s">
        <v>916</v>
      </c>
      <c r="D551" s="160" t="s">
        <v>608</v>
      </c>
      <c r="E551" s="161"/>
      <c r="F551" s="162"/>
      <c r="H551" s="45"/>
      <c r="I551" s="282"/>
      <c r="J551" s="282"/>
      <c r="K551" s="282"/>
    </row>
    <row r="552" spans="1:14" ht="24" customHeight="1">
      <c r="A552" s="158"/>
      <c r="B552" s="192"/>
      <c r="C552" s="175" t="s">
        <v>549</v>
      </c>
      <c r="D552" s="160" t="s">
        <v>609</v>
      </c>
      <c r="E552" s="161"/>
      <c r="F552" s="162"/>
    </row>
    <row r="553" spans="1:14" ht="24" customHeight="1">
      <c r="A553" s="158"/>
      <c r="B553" s="192"/>
      <c r="C553" s="175" t="s">
        <v>550</v>
      </c>
      <c r="D553" s="160"/>
      <c r="E553" s="161"/>
      <c r="F553" s="162"/>
    </row>
    <row r="554" spans="1:14" ht="24" customHeight="1">
      <c r="A554" s="163"/>
      <c r="B554" s="288"/>
      <c r="C554" s="181"/>
      <c r="D554" s="165"/>
      <c r="E554" s="166"/>
      <c r="F554" s="167"/>
    </row>
    <row r="555" spans="1:14" s="104" customFormat="1" ht="24" customHeight="1">
      <c r="A555" s="190">
        <v>11</v>
      </c>
      <c r="B555" s="168" t="s">
        <v>918</v>
      </c>
      <c r="C555" s="252" t="s">
        <v>919</v>
      </c>
      <c r="D555" s="155" t="s">
        <v>564</v>
      </c>
      <c r="E555" s="156">
        <v>350000</v>
      </c>
      <c r="F555" s="157" t="s">
        <v>397</v>
      </c>
      <c r="H555" s="45"/>
      <c r="I555" s="282"/>
      <c r="J555" s="282"/>
      <c r="K555" s="282"/>
    </row>
    <row r="556" spans="1:14" s="104" customFormat="1" ht="24" customHeight="1">
      <c r="A556" s="158"/>
      <c r="B556" s="192"/>
      <c r="C556" s="193" t="s">
        <v>920</v>
      </c>
      <c r="D556" s="160" t="s">
        <v>37</v>
      </c>
      <c r="E556" s="161"/>
      <c r="F556" s="162"/>
      <c r="H556" s="45"/>
      <c r="I556" s="282"/>
      <c r="J556" s="282"/>
      <c r="K556" s="282"/>
    </row>
    <row r="557" spans="1:14" s="104" customFormat="1" ht="24" customHeight="1">
      <c r="A557" s="163"/>
      <c r="B557" s="164"/>
      <c r="C557" s="261" t="s">
        <v>921</v>
      </c>
      <c r="D557" s="165"/>
      <c r="E557" s="166"/>
      <c r="F557" s="167"/>
      <c r="H557" s="45"/>
      <c r="I557" s="282"/>
      <c r="J557" s="282"/>
      <c r="K557" s="282"/>
    </row>
    <row r="558" spans="1:14" s="104" customFormat="1" ht="24" customHeight="1">
      <c r="A558" s="48"/>
      <c r="B558" s="69"/>
      <c r="C558" s="51"/>
      <c r="D558" s="51"/>
      <c r="E558" s="131"/>
      <c r="F558" s="52"/>
      <c r="H558" s="45"/>
      <c r="I558" s="282"/>
      <c r="J558" s="282"/>
      <c r="K558" s="282"/>
    </row>
    <row r="559" spans="1:14" s="104" customFormat="1" ht="24" customHeight="1">
      <c r="A559" s="379" t="s">
        <v>922</v>
      </c>
      <c r="B559" s="379"/>
      <c r="C559" s="379"/>
      <c r="D559" s="379"/>
      <c r="E559" s="379"/>
      <c r="F559" s="379"/>
    </row>
    <row r="560" spans="1:14" s="104" customFormat="1" ht="24" customHeight="1">
      <c r="A560" s="215"/>
      <c r="B560" s="215"/>
      <c r="C560" s="215"/>
      <c r="D560" s="215"/>
      <c r="E560" s="215"/>
      <c r="F560" s="215"/>
      <c r="H560" s="78"/>
      <c r="I560" s="282"/>
      <c r="J560" s="282"/>
      <c r="K560" s="282"/>
      <c r="L560" s="282"/>
      <c r="M560" s="78" t="s">
        <v>891</v>
      </c>
      <c r="N560" s="78" t="s">
        <v>1338</v>
      </c>
    </row>
    <row r="561" spans="1:15" s="104" customFormat="1" ht="24" customHeight="1">
      <c r="A561" s="40" t="s">
        <v>41</v>
      </c>
      <c r="B561" s="40" t="s">
        <v>619</v>
      </c>
      <c r="C561" s="40" t="s">
        <v>620</v>
      </c>
      <c r="D561" s="40" t="s">
        <v>605</v>
      </c>
      <c r="E561" s="137" t="s">
        <v>31</v>
      </c>
      <c r="F561" s="40" t="s">
        <v>396</v>
      </c>
      <c r="H561" s="45"/>
      <c r="I561" s="282"/>
      <c r="J561" s="282"/>
      <c r="K561" s="282"/>
      <c r="L561" s="282"/>
      <c r="M561" s="282"/>
      <c r="N561" s="282"/>
    </row>
    <row r="562" spans="1:15" s="104" customFormat="1" ht="24" customHeight="1">
      <c r="A562" s="41" t="s">
        <v>40</v>
      </c>
      <c r="B562" s="41"/>
      <c r="C562" s="41"/>
      <c r="D562" s="41" t="s">
        <v>606</v>
      </c>
      <c r="E562" s="129"/>
      <c r="F562" s="42"/>
      <c r="H562" s="45"/>
      <c r="I562" s="282"/>
      <c r="J562" s="282"/>
      <c r="K562" s="282"/>
      <c r="L562" s="282"/>
      <c r="M562" s="282"/>
      <c r="N562" s="282"/>
    </row>
    <row r="563" spans="1:15" s="104" customFormat="1" ht="24" customHeight="1">
      <c r="A563" s="184">
        <v>12</v>
      </c>
      <c r="B563" s="224" t="s">
        <v>923</v>
      </c>
      <c r="C563" s="224" t="s">
        <v>924</v>
      </c>
      <c r="D563" s="155" t="s">
        <v>607</v>
      </c>
      <c r="E563" s="287">
        <v>200000</v>
      </c>
      <c r="F563" s="157" t="s">
        <v>397</v>
      </c>
      <c r="H563" s="54"/>
    </row>
    <row r="564" spans="1:15" s="104" customFormat="1" ht="24" customHeight="1">
      <c r="A564" s="171"/>
      <c r="B564" s="171"/>
      <c r="C564" s="218" t="s">
        <v>925</v>
      </c>
      <c r="D564" s="160" t="s">
        <v>402</v>
      </c>
      <c r="E564" s="173"/>
      <c r="F564" s="162"/>
      <c r="H564" s="54"/>
    </row>
    <row r="565" spans="1:15" s="104" customFormat="1" ht="24" customHeight="1">
      <c r="A565" s="171"/>
      <c r="B565" s="171"/>
      <c r="C565" s="218" t="s">
        <v>926</v>
      </c>
      <c r="D565" s="160" t="s">
        <v>37</v>
      </c>
      <c r="E565" s="173"/>
      <c r="F565" s="162"/>
      <c r="H565" s="54"/>
    </row>
    <row r="566" spans="1:15" s="104" customFormat="1" ht="24" customHeight="1">
      <c r="A566" s="171"/>
      <c r="B566" s="171"/>
      <c r="C566" s="218" t="s">
        <v>927</v>
      </c>
      <c r="D566" s="171"/>
      <c r="E566" s="173"/>
      <c r="F566" s="162"/>
      <c r="H566" s="54"/>
    </row>
    <row r="567" spans="1:15" s="104" customFormat="1" ht="24" customHeight="1">
      <c r="A567" s="171"/>
      <c r="B567" s="171"/>
      <c r="C567" s="218" t="s">
        <v>928</v>
      </c>
      <c r="D567" s="171"/>
      <c r="E567" s="173"/>
      <c r="F567" s="162"/>
      <c r="H567" s="54"/>
    </row>
    <row r="568" spans="1:15" s="104" customFormat="1" ht="24" customHeight="1">
      <c r="A568" s="171"/>
      <c r="B568" s="171"/>
      <c r="C568" s="218" t="s">
        <v>929</v>
      </c>
      <c r="D568" s="171"/>
      <c r="E568" s="173"/>
      <c r="F568" s="162"/>
      <c r="H568" s="54"/>
    </row>
    <row r="569" spans="1:15" s="104" customFormat="1" ht="24" customHeight="1">
      <c r="A569" s="171"/>
      <c r="B569" s="171"/>
      <c r="C569" s="218" t="s">
        <v>930</v>
      </c>
      <c r="D569" s="171"/>
      <c r="E569" s="173"/>
      <c r="F569" s="162"/>
      <c r="H569" s="54"/>
    </row>
    <row r="570" spans="1:15" s="104" customFormat="1" ht="24" customHeight="1">
      <c r="A570" s="171"/>
      <c r="B570" s="171"/>
      <c r="C570" s="218" t="s">
        <v>931</v>
      </c>
      <c r="D570" s="171"/>
      <c r="E570" s="173"/>
      <c r="F570" s="162"/>
      <c r="H570" s="54"/>
    </row>
    <row r="571" spans="1:15" s="104" customFormat="1" ht="24" customHeight="1">
      <c r="A571" s="171"/>
      <c r="B571" s="171"/>
      <c r="C571" s="218" t="s">
        <v>932</v>
      </c>
      <c r="D571" s="171"/>
      <c r="E571" s="173"/>
      <c r="F571" s="162"/>
      <c r="H571" s="54"/>
    </row>
    <row r="572" spans="1:15" s="104" customFormat="1" ht="24" customHeight="1">
      <c r="A572" s="182"/>
      <c r="B572" s="182"/>
      <c r="C572" s="182"/>
      <c r="D572" s="182"/>
      <c r="E572" s="225"/>
      <c r="F572" s="167"/>
      <c r="H572" s="54"/>
    </row>
    <row r="573" spans="1:15" ht="24" customHeight="1">
      <c r="A573" s="190">
        <v>13</v>
      </c>
      <c r="B573" s="168" t="s">
        <v>363</v>
      </c>
      <c r="C573" s="185" t="s">
        <v>934</v>
      </c>
      <c r="D573" s="155" t="s">
        <v>564</v>
      </c>
      <c r="E573" s="156">
        <v>220000</v>
      </c>
      <c r="F573" s="155" t="s">
        <v>397</v>
      </c>
      <c r="H573" s="78"/>
      <c r="I573" s="73"/>
    </row>
    <row r="574" spans="1:15" ht="24" customHeight="1">
      <c r="A574" s="158"/>
      <c r="B574" s="192" t="s">
        <v>364</v>
      </c>
      <c r="C574" s="175" t="s">
        <v>933</v>
      </c>
      <c r="D574" s="160" t="s">
        <v>597</v>
      </c>
      <c r="E574" s="161"/>
      <c r="F574" s="162"/>
      <c r="H574" s="78"/>
      <c r="I574" s="81"/>
    </row>
    <row r="575" spans="1:15" ht="24" customHeight="1">
      <c r="A575" s="158"/>
      <c r="B575" s="205"/>
      <c r="C575" s="175" t="s">
        <v>565</v>
      </c>
      <c r="D575" s="160"/>
      <c r="E575" s="161"/>
      <c r="F575" s="162"/>
      <c r="H575" s="45"/>
      <c r="I575" s="73"/>
    </row>
    <row r="576" spans="1:15" ht="24" customHeight="1">
      <c r="A576" s="158"/>
      <c r="B576" s="205"/>
      <c r="C576" s="175" t="s">
        <v>365</v>
      </c>
      <c r="D576" s="160"/>
      <c r="E576" s="161"/>
      <c r="F576" s="162"/>
      <c r="H576" s="104"/>
      <c r="I576" s="282"/>
      <c r="J576" s="282"/>
      <c r="K576" s="282"/>
      <c r="L576" s="282"/>
      <c r="M576" s="282"/>
      <c r="N576" s="282"/>
      <c r="O576" s="282"/>
    </row>
    <row r="577" spans="1:15" ht="24" customHeight="1">
      <c r="A577" s="163"/>
      <c r="B577" s="288"/>
      <c r="C577" s="181"/>
      <c r="D577" s="165"/>
      <c r="E577" s="166"/>
      <c r="F577" s="167"/>
      <c r="H577" s="104" t="s">
        <v>939</v>
      </c>
      <c r="I577" s="282"/>
      <c r="J577" s="282"/>
      <c r="K577" s="282"/>
      <c r="L577" s="282"/>
      <c r="M577" s="282"/>
      <c r="N577" s="104" t="s">
        <v>935</v>
      </c>
      <c r="O577" s="104" t="s">
        <v>1323</v>
      </c>
    </row>
    <row r="578" spans="1:15" s="104" customFormat="1" ht="24" customHeight="1">
      <c r="A578" s="184">
        <v>14</v>
      </c>
      <c r="B578" s="224" t="s">
        <v>936</v>
      </c>
      <c r="C578" s="224" t="s">
        <v>941</v>
      </c>
      <c r="D578" s="155" t="s">
        <v>564</v>
      </c>
      <c r="E578" s="287">
        <v>100000</v>
      </c>
      <c r="F578" s="155" t="s">
        <v>397</v>
      </c>
      <c r="H578" s="45"/>
      <c r="I578" s="282"/>
      <c r="J578" s="282"/>
      <c r="K578" s="282"/>
      <c r="L578" s="282"/>
      <c r="M578" s="282"/>
      <c r="N578" s="282"/>
      <c r="O578" s="282"/>
    </row>
    <row r="579" spans="1:15" ht="24" customHeight="1">
      <c r="A579" s="226"/>
      <c r="B579" s="192" t="s">
        <v>937</v>
      </c>
      <c r="C579" s="175" t="s">
        <v>942</v>
      </c>
      <c r="D579" s="160" t="s">
        <v>597</v>
      </c>
      <c r="E579" s="289"/>
      <c r="F579" s="160"/>
      <c r="G579" s="56"/>
      <c r="H579" s="45"/>
      <c r="I579" s="282"/>
      <c r="J579" s="282"/>
      <c r="K579" s="282"/>
      <c r="L579" s="282"/>
      <c r="M579" s="282"/>
      <c r="N579" s="282"/>
      <c r="O579" s="282"/>
    </row>
    <row r="580" spans="1:15" ht="24" customHeight="1">
      <c r="A580" s="158"/>
      <c r="B580" s="192" t="s">
        <v>938</v>
      </c>
      <c r="C580" s="175" t="s">
        <v>943</v>
      </c>
      <c r="D580" s="175"/>
      <c r="E580" s="289"/>
      <c r="F580" s="162"/>
    </row>
    <row r="581" spans="1:15" ht="24" customHeight="1">
      <c r="A581" s="158"/>
      <c r="B581" s="192" t="s">
        <v>940</v>
      </c>
      <c r="C581" s="175" t="s">
        <v>944</v>
      </c>
      <c r="D581" s="175"/>
      <c r="E581" s="289"/>
      <c r="F581" s="162"/>
    </row>
    <row r="582" spans="1:15" ht="24" customHeight="1">
      <c r="A582" s="158"/>
      <c r="B582" s="192"/>
      <c r="C582" s="175" t="s">
        <v>945</v>
      </c>
      <c r="D582" s="175"/>
      <c r="E582" s="289"/>
      <c r="F582" s="162"/>
    </row>
    <row r="583" spans="1:15" ht="24" customHeight="1">
      <c r="A583" s="290"/>
      <c r="B583" s="181"/>
      <c r="C583" s="181"/>
      <c r="D583" s="221"/>
      <c r="E583" s="291"/>
      <c r="F583" s="165"/>
      <c r="H583" s="54"/>
    </row>
    <row r="584" spans="1:15" ht="24" customHeight="1">
      <c r="A584" s="199">
        <v>15</v>
      </c>
      <c r="B584" s="200" t="s">
        <v>946</v>
      </c>
      <c r="C584" s="196" t="s">
        <v>948</v>
      </c>
      <c r="D584" s="155" t="s">
        <v>564</v>
      </c>
      <c r="E584" s="201">
        <v>150000</v>
      </c>
      <c r="F584" s="160" t="s">
        <v>397</v>
      </c>
      <c r="H584" s="104"/>
      <c r="I584" s="104"/>
    </row>
    <row r="585" spans="1:15" ht="24" customHeight="1">
      <c r="A585" s="158"/>
      <c r="B585" s="192" t="s">
        <v>947</v>
      </c>
      <c r="C585" s="175" t="s">
        <v>949</v>
      </c>
      <c r="D585" s="160" t="s">
        <v>638</v>
      </c>
      <c r="E585" s="289"/>
      <c r="F585" s="162"/>
      <c r="H585" s="45"/>
      <c r="I585" s="282"/>
    </row>
    <row r="586" spans="1:15" ht="24" customHeight="1">
      <c r="A586" s="158"/>
      <c r="B586" s="192"/>
      <c r="C586" s="175" t="s">
        <v>950</v>
      </c>
      <c r="D586" s="160" t="s">
        <v>608</v>
      </c>
      <c r="E586" s="289"/>
      <c r="F586" s="162"/>
      <c r="H586" s="45" t="s">
        <v>229</v>
      </c>
      <c r="I586" s="282"/>
    </row>
    <row r="587" spans="1:15" ht="24" customHeight="1">
      <c r="A587" s="226"/>
      <c r="B587" s="192"/>
      <c r="C587" s="175"/>
      <c r="D587" s="160" t="s">
        <v>609</v>
      </c>
      <c r="E587" s="161"/>
      <c r="F587" s="160"/>
    </row>
    <row r="588" spans="1:15" ht="24" customHeight="1">
      <c r="A588" s="163"/>
      <c r="B588" s="164"/>
      <c r="C588" s="165"/>
      <c r="D588" s="261"/>
      <c r="E588" s="166"/>
      <c r="F588" s="167"/>
    </row>
    <row r="589" spans="1:15" ht="24" customHeight="1">
      <c r="A589" s="48"/>
      <c r="B589" s="69"/>
      <c r="C589" s="51"/>
      <c r="D589" s="51"/>
      <c r="E589" s="131"/>
      <c r="F589" s="52"/>
    </row>
    <row r="590" spans="1:15" s="104" customFormat="1" ht="24" customHeight="1">
      <c r="A590" s="379" t="s">
        <v>951</v>
      </c>
      <c r="B590" s="379"/>
      <c r="C590" s="379"/>
      <c r="D590" s="379"/>
      <c r="E590" s="379"/>
      <c r="F590" s="379"/>
      <c r="H590" s="78"/>
      <c r="I590" s="282"/>
      <c r="J590" s="282"/>
      <c r="K590" s="282"/>
      <c r="L590" s="78" t="s">
        <v>891</v>
      </c>
      <c r="M590" s="78" t="s">
        <v>1402</v>
      </c>
    </row>
    <row r="591" spans="1:15" s="104" customFormat="1" ht="24" customHeight="1">
      <c r="A591" s="70"/>
      <c r="B591" s="70" t="s">
        <v>229</v>
      </c>
      <c r="C591" s="70"/>
      <c r="D591" s="70"/>
      <c r="E591" s="136"/>
      <c r="F591" s="72"/>
      <c r="H591" s="45"/>
      <c r="I591" s="282"/>
      <c r="J591" s="282"/>
      <c r="K591" s="282"/>
      <c r="L591" s="282"/>
      <c r="M591" s="282"/>
    </row>
    <row r="592" spans="1:15" s="104" customFormat="1" ht="24" customHeight="1">
      <c r="A592" s="40" t="s">
        <v>41</v>
      </c>
      <c r="B592" s="40" t="s">
        <v>619</v>
      </c>
      <c r="C592" s="40" t="s">
        <v>620</v>
      </c>
      <c r="D592" s="40" t="s">
        <v>605</v>
      </c>
      <c r="E592" s="137" t="s">
        <v>31</v>
      </c>
      <c r="F592" s="40" t="s">
        <v>396</v>
      </c>
      <c r="H592" s="45"/>
      <c r="I592" s="282"/>
      <c r="J592" s="282"/>
      <c r="K592" s="282"/>
      <c r="L592" s="282"/>
      <c r="M592" s="282"/>
    </row>
    <row r="593" spans="1:31" s="104" customFormat="1" ht="24" customHeight="1">
      <c r="A593" s="41" t="s">
        <v>40</v>
      </c>
      <c r="B593" s="41"/>
      <c r="C593" s="41"/>
      <c r="D593" s="41" t="s">
        <v>606</v>
      </c>
      <c r="E593" s="129"/>
      <c r="F593" s="42"/>
      <c r="H593" s="54"/>
    </row>
    <row r="594" spans="1:31" ht="24" customHeight="1">
      <c r="A594" s="190">
        <v>16</v>
      </c>
      <c r="B594" s="168" t="s">
        <v>952</v>
      </c>
      <c r="C594" s="155" t="s">
        <v>953</v>
      </c>
      <c r="D594" s="155" t="s">
        <v>564</v>
      </c>
      <c r="E594" s="156">
        <v>2500000</v>
      </c>
      <c r="F594" s="155" t="s">
        <v>397</v>
      </c>
    </row>
    <row r="595" spans="1:31" ht="24" customHeight="1">
      <c r="A595" s="158"/>
      <c r="B595" s="192"/>
      <c r="C595" s="160" t="s">
        <v>954</v>
      </c>
      <c r="D595" s="160" t="s">
        <v>638</v>
      </c>
      <c r="E595" s="161"/>
      <c r="F595" s="162"/>
    </row>
    <row r="596" spans="1:31" ht="24" customHeight="1">
      <c r="A596" s="158"/>
      <c r="B596" s="192"/>
      <c r="C596" s="160" t="s">
        <v>955</v>
      </c>
      <c r="D596" s="160" t="s">
        <v>608</v>
      </c>
      <c r="E596" s="161"/>
      <c r="F596" s="162"/>
    </row>
    <row r="597" spans="1:31" ht="24" customHeight="1">
      <c r="A597" s="158"/>
      <c r="B597" s="192"/>
      <c r="C597" s="160" t="s">
        <v>956</v>
      </c>
      <c r="D597" s="160" t="s">
        <v>609</v>
      </c>
      <c r="E597" s="161"/>
      <c r="F597" s="162"/>
    </row>
    <row r="598" spans="1:31" ht="24" customHeight="1">
      <c r="A598" s="158"/>
      <c r="B598" s="192"/>
      <c r="C598" s="160" t="s">
        <v>549</v>
      </c>
      <c r="D598" s="292"/>
      <c r="E598" s="176"/>
      <c r="F598" s="162"/>
    </row>
    <row r="599" spans="1:31" ht="24" customHeight="1">
      <c r="A599" s="158"/>
      <c r="B599" s="192"/>
      <c r="C599" s="160" t="s">
        <v>361</v>
      </c>
      <c r="D599" s="292"/>
      <c r="E599" s="202"/>
      <c r="F599" s="162"/>
    </row>
    <row r="600" spans="1:31" ht="24" customHeight="1">
      <c r="A600" s="206"/>
      <c r="B600" s="207"/>
      <c r="C600" s="165"/>
      <c r="D600" s="261"/>
      <c r="E600" s="213"/>
      <c r="F600" s="167"/>
    </row>
    <row r="601" spans="1:31" s="104" customFormat="1" ht="24" customHeight="1">
      <c r="A601" s="199">
        <v>17</v>
      </c>
      <c r="B601" s="200" t="s">
        <v>957</v>
      </c>
      <c r="C601" s="196" t="s">
        <v>959</v>
      </c>
      <c r="D601" s="155" t="s">
        <v>564</v>
      </c>
      <c r="E601" s="277">
        <v>300000</v>
      </c>
      <c r="F601" s="238" t="s">
        <v>397</v>
      </c>
    </row>
    <row r="602" spans="1:31" ht="24" customHeight="1">
      <c r="A602" s="158"/>
      <c r="B602" s="192" t="s">
        <v>958</v>
      </c>
      <c r="C602" s="175" t="s">
        <v>960</v>
      </c>
      <c r="D602" s="160" t="s">
        <v>597</v>
      </c>
      <c r="E602" s="161"/>
      <c r="F602" s="218"/>
      <c r="H602" s="45"/>
    </row>
    <row r="603" spans="1:31" ht="24" customHeight="1">
      <c r="A603" s="226"/>
      <c r="B603" s="192"/>
      <c r="C603" s="175" t="s">
        <v>961</v>
      </c>
      <c r="D603" s="217"/>
      <c r="E603" s="161"/>
      <c r="F603" s="175"/>
      <c r="H603" s="78"/>
      <c r="I603"/>
      <c r="J603"/>
      <c r="K603"/>
      <c r="L603"/>
      <c r="M603"/>
      <c r="N603"/>
      <c r="O603"/>
    </row>
    <row r="604" spans="1:31" ht="24" customHeight="1">
      <c r="A604" s="163"/>
      <c r="B604" s="164"/>
      <c r="C604" s="181"/>
      <c r="D604" s="295"/>
      <c r="E604" s="166"/>
      <c r="F604" s="219"/>
      <c r="H604" s="78"/>
      <c r="I604" s="78"/>
      <c r="J604"/>
      <c r="K604"/>
      <c r="L604" s="78"/>
      <c r="M604" s="296"/>
      <c r="N604"/>
      <c r="O604" s="78"/>
    </row>
    <row r="605" spans="1:31" ht="24" customHeight="1">
      <c r="A605" s="285"/>
      <c r="B605" s="65" t="s">
        <v>24</v>
      </c>
      <c r="C605" s="196"/>
      <c r="D605" s="294"/>
      <c r="E605" s="357">
        <f>SUM(E606)</f>
        <v>2200000</v>
      </c>
      <c r="F605" s="238"/>
      <c r="H605" s="104"/>
      <c r="I605"/>
      <c r="J605"/>
      <c r="K605"/>
      <c r="L605"/>
      <c r="M605"/>
      <c r="N605"/>
      <c r="O605"/>
    </row>
    <row r="606" spans="1:31" s="104" customFormat="1" ht="24" customHeight="1">
      <c r="A606" s="285"/>
      <c r="B606" s="355" t="s">
        <v>1310</v>
      </c>
      <c r="C606" s="196"/>
      <c r="D606" s="220"/>
      <c r="E606" s="356">
        <f>SUM(E607:E619,E630:E641)</f>
        <v>2200000</v>
      </c>
      <c r="F606" s="238"/>
      <c r="I606" s="105"/>
      <c r="J606" s="105"/>
      <c r="K606" s="105"/>
      <c r="L606" s="105"/>
      <c r="M606" s="105"/>
      <c r="N606" s="105"/>
      <c r="O606" s="105"/>
    </row>
    <row r="607" spans="1:31" ht="24" customHeight="1">
      <c r="A607" s="226">
        <v>1</v>
      </c>
      <c r="B607" s="192" t="s">
        <v>962</v>
      </c>
      <c r="C607" s="175" t="s">
        <v>964</v>
      </c>
      <c r="D607" s="217" t="s">
        <v>972</v>
      </c>
      <c r="E607" s="161">
        <v>1700000</v>
      </c>
      <c r="F607" s="218" t="s">
        <v>398</v>
      </c>
      <c r="H607" s="104"/>
      <c r="I607"/>
      <c r="J607"/>
      <c r="K607"/>
      <c r="L607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  <c r="AE607" s="104"/>
    </row>
    <row r="608" spans="1:31" ht="24" customHeight="1">
      <c r="A608" s="158"/>
      <c r="B608" s="192" t="s">
        <v>963</v>
      </c>
      <c r="C608" s="175" t="s">
        <v>965</v>
      </c>
      <c r="D608" s="217" t="s">
        <v>973</v>
      </c>
      <c r="E608" s="161"/>
      <c r="F608" s="218" t="s">
        <v>618</v>
      </c>
      <c r="H608" s="104" t="s">
        <v>276</v>
      </c>
      <c r="I608"/>
      <c r="J608"/>
      <c r="K608"/>
      <c r="L608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</row>
    <row r="609" spans="1:31" ht="24" customHeight="1">
      <c r="A609" s="158"/>
      <c r="B609" s="192"/>
      <c r="C609" s="175" t="s">
        <v>966</v>
      </c>
      <c r="D609" s="217"/>
      <c r="E609" s="161"/>
      <c r="F609" s="218"/>
      <c r="I609"/>
      <c r="J609"/>
      <c r="K609"/>
      <c r="L609"/>
    </row>
    <row r="610" spans="1:31" ht="24" customHeight="1">
      <c r="A610" s="158"/>
      <c r="B610" s="192"/>
      <c r="C610" s="175" t="s">
        <v>967</v>
      </c>
      <c r="D610" s="217"/>
      <c r="E610" s="161"/>
      <c r="F610" s="218"/>
      <c r="I610"/>
      <c r="J610"/>
      <c r="K610"/>
      <c r="L610"/>
    </row>
    <row r="611" spans="1:31" s="104" customFormat="1" ht="24" customHeight="1">
      <c r="A611" s="158"/>
      <c r="B611" s="192"/>
      <c r="C611" s="160" t="s">
        <v>968</v>
      </c>
      <c r="D611" s="193"/>
      <c r="E611" s="161"/>
      <c r="F611" s="162"/>
      <c r="I611"/>
      <c r="J611"/>
      <c r="K611"/>
      <c r="L611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</row>
    <row r="612" spans="1:31" s="104" customFormat="1" ht="24" customHeight="1">
      <c r="A612" s="158"/>
      <c r="B612" s="192"/>
      <c r="C612" s="160" t="s">
        <v>983</v>
      </c>
      <c r="D612" s="160"/>
      <c r="E612" s="161"/>
      <c r="F612" s="162"/>
      <c r="H612"/>
      <c r="I612"/>
      <c r="J612"/>
      <c r="K612"/>
      <c r="L612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</row>
    <row r="613" spans="1:31" ht="24" customHeight="1">
      <c r="A613" s="158"/>
      <c r="B613" s="192"/>
      <c r="C613" s="160" t="s">
        <v>984</v>
      </c>
      <c r="D613" s="160"/>
      <c r="E613" s="161"/>
      <c r="F613" s="162"/>
    </row>
    <row r="614" spans="1:31" ht="24" customHeight="1">
      <c r="A614" s="158"/>
      <c r="B614" s="192"/>
      <c r="C614" s="160" t="s">
        <v>985</v>
      </c>
      <c r="D614" s="160"/>
      <c r="E614" s="202"/>
      <c r="F614" s="162"/>
      <c r="H614" s="104" t="s">
        <v>276</v>
      </c>
      <c r="I614"/>
      <c r="J614"/>
    </row>
    <row r="615" spans="1:31" ht="24" customHeight="1">
      <c r="A615" s="158"/>
      <c r="B615" s="192"/>
      <c r="C615" s="160" t="s">
        <v>969</v>
      </c>
      <c r="D615" s="160"/>
      <c r="E615" s="161"/>
      <c r="F615" s="162"/>
      <c r="H615" s="104" t="s">
        <v>312</v>
      </c>
      <c r="I615"/>
      <c r="J615"/>
    </row>
    <row r="616" spans="1:31" ht="24" customHeight="1">
      <c r="A616" s="158"/>
      <c r="B616" s="192"/>
      <c r="C616" s="160" t="s">
        <v>970</v>
      </c>
      <c r="D616" s="160"/>
      <c r="E616" s="161"/>
      <c r="F616" s="162"/>
      <c r="H616" s="104"/>
      <c r="I616"/>
      <c r="J616"/>
    </row>
    <row r="617" spans="1:31" ht="24" customHeight="1">
      <c r="A617" s="158"/>
      <c r="B617" s="192"/>
      <c r="C617" s="193" t="s">
        <v>971</v>
      </c>
      <c r="D617" s="160"/>
      <c r="E617" s="161"/>
      <c r="F617" s="162"/>
    </row>
    <row r="618" spans="1:31" ht="24" customHeight="1">
      <c r="A618" s="158"/>
      <c r="B618" s="192"/>
      <c r="C618" s="193" t="s">
        <v>974</v>
      </c>
      <c r="D618" s="160"/>
      <c r="E618" s="161"/>
      <c r="F618" s="162"/>
    </row>
    <row r="619" spans="1:31" ht="24" customHeight="1">
      <c r="A619" s="158"/>
      <c r="B619" s="192"/>
      <c r="C619" s="160" t="s">
        <v>975</v>
      </c>
      <c r="D619" s="160"/>
      <c r="E619" s="161"/>
      <c r="F619" s="162"/>
    </row>
    <row r="620" spans="1:31" s="52" customFormat="1" ht="24.95" customHeight="1">
      <c r="A620" s="48"/>
      <c r="B620" s="69"/>
      <c r="C620" s="51"/>
      <c r="D620" s="51"/>
      <c r="E620" s="131"/>
    </row>
    <row r="621" spans="1:31" ht="24" customHeight="1">
      <c r="A621" s="379" t="s">
        <v>997</v>
      </c>
      <c r="B621" s="379"/>
      <c r="C621" s="379"/>
      <c r="D621" s="379"/>
      <c r="E621" s="379"/>
      <c r="F621" s="379"/>
    </row>
    <row r="622" spans="1:31" ht="24" customHeight="1">
      <c r="A622" s="40" t="s">
        <v>41</v>
      </c>
      <c r="B622" s="40" t="s">
        <v>619</v>
      </c>
      <c r="C622" s="40" t="s">
        <v>620</v>
      </c>
      <c r="D622" s="40" t="s">
        <v>605</v>
      </c>
      <c r="E622" s="137" t="s">
        <v>31</v>
      </c>
      <c r="F622" s="40" t="s">
        <v>396</v>
      </c>
    </row>
    <row r="623" spans="1:31" ht="24" customHeight="1">
      <c r="A623" s="41" t="s">
        <v>40</v>
      </c>
      <c r="B623" s="41"/>
      <c r="C623" s="41"/>
      <c r="D623" s="41" t="s">
        <v>606</v>
      </c>
      <c r="E623" s="129"/>
      <c r="F623" s="42"/>
      <c r="H623" s="54"/>
    </row>
    <row r="624" spans="1:31" ht="24" customHeight="1">
      <c r="A624" s="190"/>
      <c r="B624" s="168"/>
      <c r="C624" s="155" t="s">
        <v>976</v>
      </c>
      <c r="D624" s="297"/>
      <c r="E624" s="156"/>
      <c r="F624" s="155"/>
      <c r="G624" s="56"/>
      <c r="H624" s="104"/>
    </row>
    <row r="625" spans="1:16" ht="24" customHeight="1">
      <c r="A625" s="158"/>
      <c r="B625" s="192"/>
      <c r="C625" s="160" t="s">
        <v>977</v>
      </c>
      <c r="D625" s="292"/>
      <c r="E625" s="161"/>
      <c r="F625" s="162"/>
      <c r="H625" s="104"/>
    </row>
    <row r="626" spans="1:16" ht="24" customHeight="1">
      <c r="A626" s="158"/>
      <c r="B626" s="192"/>
      <c r="C626" s="160" t="s">
        <v>978</v>
      </c>
      <c r="D626" s="293"/>
      <c r="E626" s="161"/>
      <c r="F626" s="162"/>
      <c r="H626" s="104"/>
    </row>
    <row r="627" spans="1:16" ht="24" customHeight="1">
      <c r="A627" s="158"/>
      <c r="B627" s="192"/>
      <c r="C627" s="160" t="s">
        <v>979</v>
      </c>
      <c r="D627" s="292"/>
      <c r="E627" s="161"/>
      <c r="F627" s="162"/>
    </row>
    <row r="628" spans="1:16" ht="24" customHeight="1">
      <c r="A628" s="177"/>
      <c r="B628" s="192"/>
      <c r="C628" s="160" t="s">
        <v>980</v>
      </c>
      <c r="D628" s="229"/>
      <c r="E628" s="173"/>
      <c r="F628" s="162"/>
      <c r="H628" s="54"/>
    </row>
    <row r="629" spans="1:16" ht="24" customHeight="1">
      <c r="A629" s="163"/>
      <c r="B629" s="164"/>
      <c r="C629" s="165"/>
      <c r="D629" s="261"/>
      <c r="E629" s="166"/>
      <c r="F629" s="167"/>
      <c r="H629" s="78"/>
      <c r="I629" s="78"/>
    </row>
    <row r="630" spans="1:16" ht="24" customHeight="1">
      <c r="A630" s="199">
        <v>2</v>
      </c>
      <c r="B630" s="200" t="s">
        <v>981</v>
      </c>
      <c r="C630" s="298" t="s">
        <v>986</v>
      </c>
      <c r="D630" s="197" t="s">
        <v>996</v>
      </c>
      <c r="E630" s="201">
        <v>500000</v>
      </c>
      <c r="F630" s="218" t="s">
        <v>398</v>
      </c>
      <c r="H630" s="78"/>
      <c r="I630"/>
    </row>
    <row r="631" spans="1:16" ht="24" customHeight="1">
      <c r="A631" s="158"/>
      <c r="B631" s="192" t="s">
        <v>982</v>
      </c>
      <c r="C631" s="299" t="s">
        <v>987</v>
      </c>
      <c r="D631" s="192" t="s">
        <v>982</v>
      </c>
      <c r="E631" s="161"/>
      <c r="F631" s="218" t="s">
        <v>618</v>
      </c>
    </row>
    <row r="632" spans="1:16" ht="24" customHeight="1">
      <c r="A632" s="158"/>
      <c r="B632" s="192"/>
      <c r="C632" s="160" t="s">
        <v>988</v>
      </c>
      <c r="D632" s="160" t="s">
        <v>183</v>
      </c>
      <c r="E632" s="161"/>
      <c r="F632" s="162"/>
    </row>
    <row r="633" spans="1:16" ht="24" customHeight="1">
      <c r="A633" s="158"/>
      <c r="B633" s="192"/>
      <c r="C633" s="160" t="s">
        <v>989</v>
      </c>
      <c r="D633" s="160"/>
      <c r="E633" s="161"/>
      <c r="F633" s="162"/>
    </row>
    <row r="634" spans="1:16" ht="24" customHeight="1">
      <c r="A634" s="158"/>
      <c r="B634" s="159"/>
      <c r="C634" s="160" t="s">
        <v>990</v>
      </c>
      <c r="D634" s="160"/>
      <c r="E634" s="161"/>
      <c r="F634" s="162"/>
    </row>
    <row r="635" spans="1:16" s="104" customFormat="1" ht="24" customHeight="1">
      <c r="A635" s="158"/>
      <c r="B635" s="159"/>
      <c r="C635" s="160" t="s">
        <v>991</v>
      </c>
      <c r="D635" s="160"/>
      <c r="E635" s="161"/>
      <c r="F635" s="162"/>
    </row>
    <row r="636" spans="1:16" s="104" customFormat="1" ht="24" customHeight="1">
      <c r="A636" s="158"/>
      <c r="B636" s="159"/>
      <c r="C636" s="160" t="s">
        <v>992</v>
      </c>
      <c r="D636" s="160"/>
      <c r="E636" s="161"/>
      <c r="F636" s="162"/>
    </row>
    <row r="637" spans="1:16" s="104" customFormat="1" ht="24" customHeight="1">
      <c r="A637" s="158"/>
      <c r="B637" s="159"/>
      <c r="C637" s="160" t="s">
        <v>993</v>
      </c>
      <c r="D637" s="160"/>
      <c r="E637" s="161"/>
      <c r="F637" s="162"/>
    </row>
    <row r="638" spans="1:16" s="104" customFormat="1" ht="24" customHeight="1">
      <c r="A638" s="158"/>
      <c r="B638" s="159"/>
      <c r="C638" s="160" t="s">
        <v>994</v>
      </c>
      <c r="D638" s="160"/>
      <c r="E638" s="161"/>
      <c r="F638" s="162"/>
    </row>
    <row r="639" spans="1:16" ht="24" customHeight="1">
      <c r="A639" s="226"/>
      <c r="B639" s="192"/>
      <c r="C639" s="160" t="s">
        <v>995</v>
      </c>
      <c r="D639" s="160"/>
      <c r="E639" s="161"/>
      <c r="F639" s="160"/>
      <c r="H639" s="78"/>
      <c r="I639" s="73"/>
      <c r="J639" s="73"/>
      <c r="K639" s="73"/>
      <c r="L639" s="73"/>
      <c r="M639" s="73"/>
      <c r="N639" s="73"/>
      <c r="O639" s="73"/>
      <c r="P639" s="73"/>
    </row>
    <row r="640" spans="1:16" ht="24" customHeight="1">
      <c r="A640" s="158"/>
      <c r="B640" s="192"/>
      <c r="C640" s="160" t="s">
        <v>247</v>
      </c>
      <c r="D640" s="160"/>
      <c r="E640" s="161"/>
      <c r="F640" s="162"/>
      <c r="H640" s="78" t="s">
        <v>320</v>
      </c>
      <c r="I640" s="73"/>
      <c r="J640" s="73"/>
      <c r="K640" s="73"/>
      <c r="L640" s="73"/>
      <c r="M640" s="73"/>
      <c r="N640" s="73"/>
      <c r="O640" s="81"/>
      <c r="P640" s="81"/>
    </row>
    <row r="641" spans="1:16" ht="24" customHeight="1">
      <c r="A641" s="163"/>
      <c r="B641" s="164"/>
      <c r="C641" s="165"/>
      <c r="D641" s="165"/>
      <c r="E641" s="166"/>
      <c r="F641" s="167"/>
      <c r="I641" s="73"/>
      <c r="J641" s="73"/>
      <c r="K641" s="73"/>
      <c r="L641" s="73"/>
      <c r="M641" s="73"/>
      <c r="N641" s="73"/>
      <c r="O641" s="73"/>
      <c r="P641" s="73"/>
    </row>
    <row r="642" spans="1:16" ht="24" customHeight="1">
      <c r="A642" s="302"/>
      <c r="B642" s="303" t="s">
        <v>277</v>
      </c>
      <c r="C642" s="227"/>
      <c r="D642" s="227"/>
      <c r="E642" s="304">
        <f>SUM(E643,E783)</f>
        <v>10510000</v>
      </c>
      <c r="F642" s="157"/>
      <c r="G642" s="56"/>
      <c r="H642" s="57"/>
    </row>
    <row r="643" spans="1:16" ht="24" customHeight="1">
      <c r="A643" s="203"/>
      <c r="B643" s="305" t="s">
        <v>23</v>
      </c>
      <c r="C643" s="162"/>
      <c r="D643" s="162"/>
      <c r="E643" s="306">
        <f>SUM(E644:E650,E656:E681,E686:E712,E718:E743,E749:E774,E779:E782)</f>
        <v>10360000</v>
      </c>
      <c r="F643" s="162"/>
    </row>
    <row r="644" spans="1:16" ht="24" customHeight="1">
      <c r="A644" s="226">
        <v>1</v>
      </c>
      <c r="B644" s="192" t="s">
        <v>278</v>
      </c>
      <c r="C644" s="160" t="s">
        <v>279</v>
      </c>
      <c r="D644" s="160" t="s">
        <v>564</v>
      </c>
      <c r="E644" s="161">
        <v>200000</v>
      </c>
      <c r="F644" s="160" t="s">
        <v>397</v>
      </c>
      <c r="G644" s="56"/>
      <c r="H644" s="57"/>
    </row>
    <row r="645" spans="1:16" ht="24" customHeight="1">
      <c r="A645" s="158"/>
      <c r="B645" s="192"/>
      <c r="C645" s="160" t="s">
        <v>280</v>
      </c>
      <c r="D645" s="160" t="s">
        <v>998</v>
      </c>
      <c r="E645" s="161"/>
      <c r="F645" s="162"/>
    </row>
    <row r="646" spans="1:16" ht="24" customHeight="1">
      <c r="A646" s="158"/>
      <c r="B646" s="192"/>
      <c r="C646" s="160" t="s">
        <v>281</v>
      </c>
      <c r="D646" s="175" t="s">
        <v>608</v>
      </c>
      <c r="E646" s="161"/>
      <c r="F646" s="162"/>
    </row>
    <row r="647" spans="1:16" ht="24" customHeight="1">
      <c r="A647" s="307"/>
      <c r="B647" s="308"/>
      <c r="C647" s="309"/>
      <c r="D647" s="175" t="s">
        <v>609</v>
      </c>
      <c r="E647" s="259"/>
      <c r="F647" s="309"/>
      <c r="H647" s="64"/>
    </row>
    <row r="648" spans="1:16" ht="24" customHeight="1">
      <c r="A648" s="158"/>
      <c r="B648" s="308"/>
      <c r="C648" s="309"/>
      <c r="D648" s="310"/>
      <c r="E648" s="259"/>
      <c r="F648" s="311"/>
      <c r="H648" s="64"/>
    </row>
    <row r="649" spans="1:16" ht="24" customHeight="1">
      <c r="A649" s="158"/>
      <c r="B649" s="308"/>
      <c r="C649" s="309"/>
      <c r="D649" s="309"/>
      <c r="E649" s="259"/>
      <c r="F649" s="312"/>
      <c r="H649" s="67"/>
    </row>
    <row r="650" spans="1:16" ht="24" customHeight="1">
      <c r="A650" s="163"/>
      <c r="B650" s="288"/>
      <c r="C650" s="165"/>
      <c r="D650" s="165"/>
      <c r="E650" s="166"/>
      <c r="F650" s="313"/>
      <c r="H650" s="67"/>
    </row>
    <row r="651" spans="1:16" s="57" customFormat="1" ht="24" customHeight="1">
      <c r="A651" s="147"/>
      <c r="B651" s="68"/>
      <c r="C651" s="56"/>
      <c r="D651" s="56"/>
      <c r="E651" s="134"/>
    </row>
    <row r="652" spans="1:16" s="57" customFormat="1" ht="24" customHeight="1">
      <c r="A652" s="379" t="s">
        <v>999</v>
      </c>
      <c r="B652" s="379"/>
      <c r="C652" s="379"/>
      <c r="D652" s="379"/>
      <c r="E652" s="379"/>
      <c r="F652" s="379"/>
    </row>
    <row r="653" spans="1:16" s="57" customFormat="1" ht="24" customHeight="1">
      <c r="A653" s="276"/>
      <c r="B653" s="276"/>
      <c r="C653" s="276"/>
      <c r="D653" s="276"/>
      <c r="E653" s="276"/>
      <c r="F653" s="276"/>
    </row>
    <row r="654" spans="1:16" ht="24" customHeight="1">
      <c r="A654" s="40" t="s">
        <v>41</v>
      </c>
      <c r="B654" s="40" t="s">
        <v>619</v>
      </c>
      <c r="C654" s="40" t="s">
        <v>620</v>
      </c>
      <c r="D654" s="40" t="s">
        <v>605</v>
      </c>
      <c r="E654" s="137" t="s">
        <v>31</v>
      </c>
      <c r="F654" s="40" t="s">
        <v>396</v>
      </c>
      <c r="I654" s="73"/>
      <c r="J654" s="73"/>
      <c r="K654" s="73"/>
    </row>
    <row r="655" spans="1:16" ht="24" customHeight="1">
      <c r="A655" s="41" t="s">
        <v>40</v>
      </c>
      <c r="B655" s="41"/>
      <c r="C655" s="41"/>
      <c r="D655" s="41" t="s">
        <v>606</v>
      </c>
      <c r="E655" s="129"/>
      <c r="F655" s="42"/>
      <c r="I655" s="73"/>
      <c r="J655" s="73"/>
      <c r="K655" s="73"/>
    </row>
    <row r="656" spans="1:16" ht="24" customHeight="1">
      <c r="A656" s="187">
        <v>2</v>
      </c>
      <c r="B656" s="185" t="s">
        <v>282</v>
      </c>
      <c r="C656" s="185" t="s">
        <v>283</v>
      </c>
      <c r="D656" s="155" t="s">
        <v>564</v>
      </c>
      <c r="E656" s="186">
        <v>50000</v>
      </c>
      <c r="F656" s="155" t="s">
        <v>397</v>
      </c>
      <c r="H656" s="54"/>
    </row>
    <row r="657" spans="1:10" ht="24" customHeight="1">
      <c r="A657" s="158"/>
      <c r="B657" s="192"/>
      <c r="C657" s="160" t="s">
        <v>284</v>
      </c>
      <c r="D657" s="160" t="s">
        <v>998</v>
      </c>
      <c r="E657" s="161"/>
      <c r="F657" s="162"/>
    </row>
    <row r="658" spans="1:10" ht="24" customHeight="1">
      <c r="A658" s="158"/>
      <c r="B658" s="192"/>
      <c r="C658" s="160" t="s">
        <v>285</v>
      </c>
      <c r="D658" s="175" t="s">
        <v>608</v>
      </c>
      <c r="E658" s="161"/>
      <c r="F658" s="162"/>
    </row>
    <row r="659" spans="1:10" ht="24" customHeight="1">
      <c r="A659" s="158"/>
      <c r="B659" s="192"/>
      <c r="C659" s="160" t="s">
        <v>286</v>
      </c>
      <c r="D659" s="175" t="s">
        <v>609</v>
      </c>
      <c r="E659" s="161"/>
      <c r="F659" s="162"/>
    </row>
    <row r="660" spans="1:10" ht="24" customHeight="1">
      <c r="A660" s="158"/>
      <c r="B660" s="205"/>
      <c r="C660" s="160" t="s">
        <v>287</v>
      </c>
      <c r="D660" s="160"/>
      <c r="E660" s="161"/>
      <c r="F660" s="162"/>
    </row>
    <row r="661" spans="1:10" ht="24" customHeight="1">
      <c r="A661" s="158"/>
      <c r="B661" s="192"/>
      <c r="C661" s="160" t="s">
        <v>288</v>
      </c>
      <c r="D661" s="160"/>
      <c r="E661" s="176"/>
      <c r="F661" s="162"/>
    </row>
    <row r="662" spans="1:10" ht="24" customHeight="1">
      <c r="A662" s="158"/>
      <c r="B662" s="192"/>
      <c r="C662" s="160" t="s">
        <v>289</v>
      </c>
      <c r="D662" s="160"/>
      <c r="E662" s="176"/>
      <c r="F662" s="162"/>
    </row>
    <row r="663" spans="1:10" ht="24" customHeight="1">
      <c r="A663" s="163"/>
      <c r="B663" s="164"/>
      <c r="C663" s="165"/>
      <c r="D663" s="261"/>
      <c r="E663" s="166"/>
      <c r="F663" s="167"/>
    </row>
    <row r="664" spans="1:10" ht="24" customHeight="1">
      <c r="A664" s="190">
        <v>3</v>
      </c>
      <c r="B664" s="168" t="s">
        <v>290</v>
      </c>
      <c r="C664" s="155" t="s">
        <v>0</v>
      </c>
      <c r="D664" s="155" t="s">
        <v>402</v>
      </c>
      <c r="E664" s="156">
        <v>100000</v>
      </c>
      <c r="F664" s="155" t="s">
        <v>397</v>
      </c>
    </row>
    <row r="665" spans="1:10" ht="24" customHeight="1">
      <c r="A665" s="158"/>
      <c r="B665" s="192" t="s">
        <v>567</v>
      </c>
      <c r="C665" s="160" t="s">
        <v>569</v>
      </c>
      <c r="D665" s="160" t="s">
        <v>37</v>
      </c>
      <c r="E665" s="161"/>
      <c r="F665" s="162"/>
    </row>
    <row r="666" spans="1:10" ht="24" customHeight="1">
      <c r="A666" s="158"/>
      <c r="B666" s="192" t="s">
        <v>568</v>
      </c>
      <c r="C666" s="160" t="s">
        <v>366</v>
      </c>
      <c r="D666" s="212"/>
      <c r="E666" s="161"/>
      <c r="F666" s="162"/>
    </row>
    <row r="667" spans="1:10" ht="24" customHeight="1">
      <c r="A667" s="158"/>
      <c r="B667" s="192"/>
      <c r="C667" s="160" t="s">
        <v>570</v>
      </c>
      <c r="D667" s="160"/>
      <c r="E667" s="161"/>
      <c r="F667" s="162"/>
    </row>
    <row r="668" spans="1:10" ht="24" customHeight="1">
      <c r="A668" s="158"/>
      <c r="B668" s="159"/>
      <c r="C668" s="160" t="s">
        <v>367</v>
      </c>
      <c r="D668" s="160"/>
      <c r="E668" s="161"/>
      <c r="F668" s="162"/>
    </row>
    <row r="669" spans="1:10" s="104" customFormat="1" ht="24" customHeight="1">
      <c r="A669" s="248"/>
      <c r="B669" s="251"/>
      <c r="C669" s="260" t="s">
        <v>1</v>
      </c>
      <c r="D669" s="260"/>
      <c r="E669" s="233"/>
      <c r="F669" s="234"/>
    </row>
    <row r="670" spans="1:10" ht="24" customHeight="1">
      <c r="A670" s="163"/>
      <c r="B670" s="164"/>
      <c r="C670" s="165"/>
      <c r="D670" s="165"/>
      <c r="E670" s="166"/>
      <c r="F670" s="167"/>
      <c r="H670" s="104"/>
      <c r="I670" s="282"/>
      <c r="J670" s="282"/>
    </row>
    <row r="671" spans="1:10" ht="24" customHeight="1">
      <c r="A671" s="199">
        <v>4</v>
      </c>
      <c r="B671" s="200" t="s">
        <v>1000</v>
      </c>
      <c r="C671" s="197" t="s">
        <v>1003</v>
      </c>
      <c r="D671" s="197" t="s">
        <v>564</v>
      </c>
      <c r="E671" s="198">
        <v>250000</v>
      </c>
      <c r="F671" s="197" t="s">
        <v>397</v>
      </c>
      <c r="H671" s="45"/>
      <c r="I671" s="282"/>
      <c r="J671" s="282"/>
    </row>
    <row r="672" spans="1:10" ht="24" customHeight="1">
      <c r="A672" s="158"/>
      <c r="B672" s="175" t="s">
        <v>1001</v>
      </c>
      <c r="C672" s="160" t="s">
        <v>1004</v>
      </c>
      <c r="D672" s="160" t="s">
        <v>758</v>
      </c>
      <c r="E672" s="176"/>
      <c r="F672" s="314"/>
      <c r="H672" s="45"/>
      <c r="I672" s="282"/>
      <c r="J672" s="282"/>
    </row>
    <row r="673" spans="1:11" ht="24" customHeight="1">
      <c r="A673" s="158"/>
      <c r="B673" s="192" t="s">
        <v>1002</v>
      </c>
      <c r="C673" s="160" t="s">
        <v>1005</v>
      </c>
      <c r="D673" s="175"/>
      <c r="E673" s="176"/>
      <c r="F673" s="160"/>
      <c r="H673" s="67"/>
    </row>
    <row r="674" spans="1:11" ht="24" customHeight="1">
      <c r="A674" s="158"/>
      <c r="B674" s="192"/>
      <c r="C674" s="160" t="s">
        <v>1006</v>
      </c>
      <c r="D674" s="175"/>
      <c r="E674" s="176"/>
      <c r="F674" s="160"/>
      <c r="H674" s="67"/>
    </row>
    <row r="675" spans="1:11" ht="24" customHeight="1">
      <c r="A675" s="158"/>
      <c r="B675" s="192"/>
      <c r="C675" s="160" t="s">
        <v>1007</v>
      </c>
      <c r="D675" s="160"/>
      <c r="E675" s="176"/>
      <c r="F675" s="314"/>
      <c r="H675" s="104"/>
      <c r="I675"/>
      <c r="J675"/>
    </row>
    <row r="676" spans="1:11" s="104" customFormat="1" ht="24" customHeight="1">
      <c r="A676" s="158"/>
      <c r="B676" s="192"/>
      <c r="C676" s="160" t="s">
        <v>1008</v>
      </c>
      <c r="D676" s="160"/>
      <c r="E676" s="176"/>
      <c r="F676" s="314"/>
      <c r="H676" s="282"/>
      <c r="I676"/>
      <c r="J676" s="91" t="s">
        <v>1436</v>
      </c>
    </row>
    <row r="677" spans="1:11" s="104" customFormat="1" ht="24" customHeight="1">
      <c r="A677" s="248"/>
      <c r="B677" s="249"/>
      <c r="C677" s="260"/>
      <c r="D677" s="260"/>
      <c r="E677" s="319"/>
      <c r="F677" s="320"/>
      <c r="H677" s="282"/>
      <c r="I677" s="105"/>
      <c r="J677" s="91"/>
    </row>
    <row r="678" spans="1:11" s="104" customFormat="1" ht="24" customHeight="1">
      <c r="A678" s="248"/>
      <c r="B678" s="249"/>
      <c r="C678" s="260"/>
      <c r="D678" s="260"/>
      <c r="E678" s="319"/>
      <c r="F678" s="320"/>
      <c r="H678" s="282"/>
      <c r="I678" s="105"/>
      <c r="J678" s="91"/>
    </row>
    <row r="679" spans="1:11" s="104" customFormat="1" ht="24" customHeight="1">
      <c r="A679" s="248"/>
      <c r="B679" s="249"/>
      <c r="C679" s="260"/>
      <c r="D679" s="260"/>
      <c r="E679" s="319"/>
      <c r="F679" s="320"/>
      <c r="H679" s="282"/>
      <c r="I679" s="105"/>
      <c r="J679" s="91"/>
    </row>
    <row r="680" spans="1:11" s="104" customFormat="1" ht="24" customHeight="1">
      <c r="A680" s="248"/>
      <c r="B680" s="249"/>
      <c r="C680" s="260"/>
      <c r="D680" s="260"/>
      <c r="E680" s="319"/>
      <c r="F680" s="320"/>
      <c r="H680" s="282"/>
      <c r="I680" s="105"/>
      <c r="J680" s="91"/>
    </row>
    <row r="681" spans="1:11" ht="24" customHeight="1">
      <c r="A681" s="163"/>
      <c r="B681" s="164"/>
      <c r="C681" s="165"/>
      <c r="D681" s="165"/>
      <c r="E681" s="213"/>
      <c r="F681" s="313"/>
      <c r="H681" s="45"/>
      <c r="I681"/>
      <c r="J681"/>
      <c r="K681" s="73"/>
    </row>
    <row r="682" spans="1:11" s="104" customFormat="1" ht="24" customHeight="1">
      <c r="A682" s="276"/>
      <c r="B682" s="68"/>
      <c r="C682" s="56"/>
      <c r="D682" s="56"/>
      <c r="E682" s="134"/>
      <c r="F682" s="57"/>
    </row>
    <row r="683" spans="1:11" ht="24" customHeight="1">
      <c r="A683" s="379" t="s">
        <v>1009</v>
      </c>
      <c r="B683" s="379"/>
      <c r="C683" s="379"/>
      <c r="D683" s="379"/>
      <c r="E683" s="379"/>
      <c r="F683" s="379"/>
    </row>
    <row r="684" spans="1:11" ht="24" customHeight="1">
      <c r="A684" s="40" t="s">
        <v>41</v>
      </c>
      <c r="B684" s="40" t="s">
        <v>619</v>
      </c>
      <c r="C684" s="40" t="s">
        <v>620</v>
      </c>
      <c r="D684" s="40" t="s">
        <v>605</v>
      </c>
      <c r="E684" s="137" t="s">
        <v>31</v>
      </c>
      <c r="F684" s="40" t="s">
        <v>396</v>
      </c>
    </row>
    <row r="685" spans="1:11" ht="24" customHeight="1">
      <c r="A685" s="41" t="s">
        <v>40</v>
      </c>
      <c r="B685" s="41"/>
      <c r="C685" s="41"/>
      <c r="D685" s="41" t="s">
        <v>606</v>
      </c>
      <c r="E685" s="129"/>
      <c r="F685" s="42"/>
      <c r="H685" s="54"/>
    </row>
    <row r="686" spans="1:11" ht="24" customHeight="1">
      <c r="A686" s="199">
        <v>5</v>
      </c>
      <c r="B686" s="200" t="s">
        <v>1010</v>
      </c>
      <c r="C686" s="197" t="s">
        <v>1012</v>
      </c>
      <c r="D686" s="196" t="s">
        <v>607</v>
      </c>
      <c r="E686" s="318">
        <v>60000</v>
      </c>
      <c r="F686" s="197" t="s">
        <v>397</v>
      </c>
      <c r="I686" s="73"/>
      <c r="J686" s="64"/>
      <c r="K686" s="73"/>
    </row>
    <row r="687" spans="1:11" ht="24" customHeight="1">
      <c r="A687" s="158"/>
      <c r="B687" s="192" t="s">
        <v>1011</v>
      </c>
      <c r="C687" s="160" t="s">
        <v>1013</v>
      </c>
      <c r="D687" s="160" t="s">
        <v>402</v>
      </c>
      <c r="E687" s="202"/>
      <c r="F687" s="160"/>
      <c r="I687" s="73"/>
      <c r="J687" s="64"/>
      <c r="K687" s="73"/>
    </row>
    <row r="688" spans="1:11" ht="24" customHeight="1">
      <c r="A688" s="158"/>
      <c r="B688" s="175"/>
      <c r="C688" s="160" t="s">
        <v>1014</v>
      </c>
      <c r="D688" s="193" t="s">
        <v>37</v>
      </c>
      <c r="E688" s="202"/>
      <c r="F688" s="315"/>
      <c r="I688" s="73"/>
      <c r="J688" s="64"/>
      <c r="K688" s="73"/>
    </row>
    <row r="689" spans="1:11" ht="24" customHeight="1">
      <c r="A689" s="248"/>
      <c r="B689" s="249"/>
      <c r="C689" s="260" t="s">
        <v>1015</v>
      </c>
      <c r="D689" s="316"/>
      <c r="E689" s="250"/>
      <c r="F689" s="317"/>
      <c r="I689" s="73"/>
      <c r="J689" s="64"/>
      <c r="K689" s="73"/>
    </row>
    <row r="690" spans="1:11" ht="24" customHeight="1">
      <c r="A690" s="248"/>
      <c r="B690" s="249"/>
      <c r="C690" s="260" t="s">
        <v>1016</v>
      </c>
      <c r="D690" s="260"/>
      <c r="E690" s="233"/>
      <c r="F690" s="234"/>
    </row>
    <row r="691" spans="1:11" s="104" customFormat="1" ht="24" customHeight="1">
      <c r="A691" s="248"/>
      <c r="B691" s="249"/>
      <c r="C691" s="260" t="s">
        <v>1017</v>
      </c>
      <c r="D691" s="260"/>
      <c r="E691" s="233"/>
      <c r="F691" s="234"/>
    </row>
    <row r="692" spans="1:11" s="104" customFormat="1" ht="24" customHeight="1">
      <c r="A692" s="158"/>
      <c r="B692" s="192"/>
      <c r="C692" s="160" t="s">
        <v>1018</v>
      </c>
      <c r="D692" s="160"/>
      <c r="E692" s="161"/>
      <c r="F692" s="162"/>
    </row>
    <row r="693" spans="1:11" s="104" customFormat="1" ht="24" customHeight="1">
      <c r="A693" s="163"/>
      <c r="B693" s="164"/>
      <c r="C693" s="165"/>
      <c r="D693" s="165"/>
      <c r="E693" s="166"/>
      <c r="F693" s="167"/>
    </row>
    <row r="694" spans="1:11" ht="24" customHeight="1">
      <c r="A694" s="187">
        <v>6</v>
      </c>
      <c r="B694" s="185" t="s">
        <v>368</v>
      </c>
      <c r="C694" s="185" t="s">
        <v>1019</v>
      </c>
      <c r="D694" s="155" t="s">
        <v>564</v>
      </c>
      <c r="E694" s="186">
        <v>2000000</v>
      </c>
      <c r="F694" s="155" t="s">
        <v>397</v>
      </c>
      <c r="H694" s="82" t="s">
        <v>312</v>
      </c>
    </row>
    <row r="695" spans="1:11" ht="24" customHeight="1">
      <c r="A695" s="171"/>
      <c r="B695" s="175" t="s">
        <v>369</v>
      </c>
      <c r="C695" s="175" t="s">
        <v>1020</v>
      </c>
      <c r="D695" s="160" t="s">
        <v>998</v>
      </c>
      <c r="E695" s="173"/>
      <c r="F695" s="162"/>
      <c r="H695" s="83" t="s">
        <v>229</v>
      </c>
    </row>
    <row r="696" spans="1:11" ht="24" customHeight="1">
      <c r="A696" s="171"/>
      <c r="B696" s="188"/>
      <c r="C696" s="175" t="s">
        <v>1021</v>
      </c>
      <c r="D696" s="175" t="s">
        <v>608</v>
      </c>
      <c r="E696" s="173"/>
      <c r="F696" s="162"/>
      <c r="H696" s="54"/>
    </row>
    <row r="697" spans="1:11" ht="24" customHeight="1">
      <c r="A697" s="171"/>
      <c r="B697" s="188"/>
      <c r="C697" s="175" t="s">
        <v>1022</v>
      </c>
      <c r="D697" s="175" t="s">
        <v>609</v>
      </c>
      <c r="E697" s="173"/>
      <c r="F697" s="162"/>
      <c r="H697" s="54"/>
    </row>
    <row r="698" spans="1:11" ht="24" customHeight="1">
      <c r="A698" s="171"/>
      <c r="B698" s="188"/>
      <c r="C698" s="175" t="s">
        <v>1023</v>
      </c>
      <c r="D698" s="171"/>
      <c r="E698" s="173"/>
      <c r="F698" s="162"/>
      <c r="H698" s="54"/>
    </row>
    <row r="699" spans="1:11" ht="24" customHeight="1">
      <c r="A699" s="182"/>
      <c r="B699" s="189"/>
      <c r="C699" s="182"/>
      <c r="D699" s="182"/>
      <c r="E699" s="225"/>
      <c r="F699" s="167"/>
      <c r="H699" s="54"/>
    </row>
    <row r="700" spans="1:11" ht="24" customHeight="1">
      <c r="A700" s="187">
        <v>7</v>
      </c>
      <c r="B700" s="185" t="s">
        <v>1024</v>
      </c>
      <c r="C700" s="185" t="s">
        <v>1025</v>
      </c>
      <c r="D700" s="155" t="s">
        <v>564</v>
      </c>
      <c r="E700" s="186">
        <v>3000000</v>
      </c>
      <c r="F700" s="155" t="s">
        <v>397</v>
      </c>
      <c r="H700" s="83"/>
    </row>
    <row r="701" spans="1:11" ht="24" customHeight="1">
      <c r="A701" s="188"/>
      <c r="B701" s="175" t="s">
        <v>81</v>
      </c>
      <c r="C701" s="175" t="s">
        <v>588</v>
      </c>
      <c r="D701" s="160" t="s">
        <v>998</v>
      </c>
      <c r="E701" s="176"/>
      <c r="F701" s="160"/>
      <c r="H701" s="54"/>
    </row>
    <row r="702" spans="1:11" ht="24" customHeight="1">
      <c r="A702" s="188"/>
      <c r="B702" s="188"/>
      <c r="C702" s="175" t="s">
        <v>370</v>
      </c>
      <c r="D702" s="175" t="s">
        <v>608</v>
      </c>
      <c r="E702" s="176"/>
      <c r="F702" s="160"/>
      <c r="H702" s="54"/>
    </row>
    <row r="703" spans="1:11" ht="24" customHeight="1">
      <c r="A703" s="188"/>
      <c r="B703" s="188"/>
      <c r="C703" s="175" t="s">
        <v>371</v>
      </c>
      <c r="D703" s="175" t="s">
        <v>609</v>
      </c>
      <c r="E703" s="176"/>
      <c r="F703" s="160"/>
      <c r="H703" s="54"/>
    </row>
    <row r="704" spans="1:11" s="104" customFormat="1" ht="24" customHeight="1">
      <c r="A704" s="189"/>
      <c r="B704" s="189"/>
      <c r="C704" s="181"/>
      <c r="D704" s="189"/>
      <c r="E704" s="183"/>
      <c r="F704" s="165"/>
      <c r="H704" s="54"/>
    </row>
    <row r="705" spans="1:8" ht="24" customHeight="1">
      <c r="A705" s="187">
        <v>8</v>
      </c>
      <c r="B705" s="185" t="s">
        <v>372</v>
      </c>
      <c r="C705" s="185" t="s">
        <v>1026</v>
      </c>
      <c r="D705" s="185" t="s">
        <v>607</v>
      </c>
      <c r="E705" s="186">
        <v>500000</v>
      </c>
      <c r="F705" s="155" t="s">
        <v>397</v>
      </c>
      <c r="H705" s="83"/>
    </row>
    <row r="706" spans="1:8" ht="24" customHeight="1">
      <c r="A706" s="188"/>
      <c r="B706" s="188"/>
      <c r="C706" s="175" t="s">
        <v>1027</v>
      </c>
      <c r="D706" s="160" t="s">
        <v>402</v>
      </c>
      <c r="E706" s="176"/>
      <c r="F706" s="160"/>
      <c r="H706" s="83"/>
    </row>
    <row r="707" spans="1:8" ht="24" customHeight="1">
      <c r="A707" s="188"/>
      <c r="B707" s="188"/>
      <c r="C707" s="175" t="s">
        <v>1028</v>
      </c>
      <c r="D707" s="193" t="s">
        <v>37</v>
      </c>
      <c r="E707" s="176"/>
      <c r="F707" s="160"/>
      <c r="H707" s="83"/>
    </row>
    <row r="708" spans="1:8" ht="24" customHeight="1">
      <c r="A708" s="188"/>
      <c r="B708" s="188"/>
      <c r="C708" s="175" t="s">
        <v>1029</v>
      </c>
      <c r="D708" s="188"/>
      <c r="E708" s="176"/>
      <c r="F708" s="160"/>
      <c r="H708" s="83"/>
    </row>
    <row r="709" spans="1:8" ht="24" customHeight="1">
      <c r="A709" s="188"/>
      <c r="B709" s="188"/>
      <c r="C709" s="175" t="s">
        <v>571</v>
      </c>
      <c r="D709" s="188"/>
      <c r="E709" s="176"/>
      <c r="F709" s="160"/>
      <c r="H709" s="83"/>
    </row>
    <row r="710" spans="1:8" ht="24" customHeight="1">
      <c r="A710" s="188"/>
      <c r="B710" s="188"/>
      <c r="C710" s="175" t="s">
        <v>572</v>
      </c>
      <c r="D710" s="188"/>
      <c r="E710" s="176"/>
      <c r="F710" s="160"/>
      <c r="H710" s="83"/>
    </row>
    <row r="711" spans="1:8" ht="24" customHeight="1">
      <c r="A711" s="188"/>
      <c r="B711" s="188"/>
      <c r="C711" s="175" t="s">
        <v>573</v>
      </c>
      <c r="D711" s="188"/>
      <c r="E711" s="176"/>
      <c r="F711" s="160"/>
      <c r="H711" s="83"/>
    </row>
    <row r="712" spans="1:8" s="104" customFormat="1" ht="24" customHeight="1">
      <c r="A712" s="189"/>
      <c r="B712" s="189"/>
      <c r="C712" s="181" t="s">
        <v>574</v>
      </c>
      <c r="D712" s="189"/>
      <c r="E712" s="183"/>
      <c r="F712" s="165"/>
      <c r="H712" s="83"/>
    </row>
    <row r="713" spans="1:8" ht="24" customHeight="1">
      <c r="A713" s="84"/>
      <c r="B713" s="84"/>
      <c r="C713" s="84"/>
      <c r="D713" s="84"/>
      <c r="E713" s="143"/>
      <c r="F713" s="51"/>
      <c r="H713" s="83"/>
    </row>
    <row r="714" spans="1:8" s="104" customFormat="1" ht="24" customHeight="1">
      <c r="A714" s="379" t="s">
        <v>1030</v>
      </c>
      <c r="B714" s="379"/>
      <c r="C714" s="379"/>
      <c r="D714" s="379"/>
      <c r="E714" s="379"/>
      <c r="F714" s="379"/>
    </row>
    <row r="715" spans="1:8" s="104" customFormat="1" ht="24" customHeight="1">
      <c r="A715" s="147"/>
      <c r="B715" s="147"/>
      <c r="C715" s="147"/>
      <c r="D715" s="147"/>
      <c r="E715" s="132"/>
      <c r="F715" s="147"/>
    </row>
    <row r="716" spans="1:8" s="104" customFormat="1" ht="24" customHeight="1">
      <c r="A716" s="40" t="s">
        <v>41</v>
      </c>
      <c r="B716" s="40" t="s">
        <v>619</v>
      </c>
      <c r="C716" s="40" t="s">
        <v>620</v>
      </c>
      <c r="D716" s="40" t="s">
        <v>605</v>
      </c>
      <c r="E716" s="137" t="s">
        <v>31</v>
      </c>
      <c r="F716" s="40" t="s">
        <v>396</v>
      </c>
    </row>
    <row r="717" spans="1:8" s="104" customFormat="1" ht="24" customHeight="1">
      <c r="A717" s="41" t="s">
        <v>40</v>
      </c>
      <c r="B717" s="41"/>
      <c r="C717" s="41"/>
      <c r="D717" s="41" t="s">
        <v>606</v>
      </c>
      <c r="E717" s="129"/>
      <c r="F717" s="42"/>
      <c r="H717" s="54"/>
    </row>
    <row r="718" spans="1:8" ht="24" customHeight="1">
      <c r="A718" s="190">
        <v>9</v>
      </c>
      <c r="B718" s="168" t="s">
        <v>1031</v>
      </c>
      <c r="C718" s="155" t="s">
        <v>1034</v>
      </c>
      <c r="D718" s="155" t="s">
        <v>564</v>
      </c>
      <c r="E718" s="156">
        <v>2500000</v>
      </c>
      <c r="F718" s="155" t="s">
        <v>397</v>
      </c>
    </row>
    <row r="719" spans="1:8" ht="24" customHeight="1">
      <c r="A719" s="203"/>
      <c r="B719" s="192" t="s">
        <v>1032</v>
      </c>
      <c r="C719" s="160" t="s">
        <v>1035</v>
      </c>
      <c r="D719" s="160" t="s">
        <v>998</v>
      </c>
      <c r="E719" s="176"/>
      <c r="F719" s="162"/>
      <c r="H719" s="83"/>
    </row>
    <row r="720" spans="1:8" ht="24" customHeight="1">
      <c r="A720" s="203"/>
      <c r="B720" s="192" t="s">
        <v>1033</v>
      </c>
      <c r="C720" s="160" t="s">
        <v>1036</v>
      </c>
      <c r="D720" s="175" t="s">
        <v>608</v>
      </c>
      <c r="E720" s="202"/>
      <c r="F720" s="162"/>
      <c r="H720" s="83" t="s">
        <v>276</v>
      </c>
    </row>
    <row r="721" spans="1:9" ht="24" customHeight="1">
      <c r="A721" s="203"/>
      <c r="B721" s="204"/>
      <c r="C721" s="160" t="s">
        <v>1037</v>
      </c>
      <c r="D721" s="175" t="s">
        <v>609</v>
      </c>
      <c r="E721" s="161"/>
      <c r="F721" s="162"/>
    </row>
    <row r="722" spans="1:9" ht="24" customHeight="1">
      <c r="A722" s="203"/>
      <c r="B722" s="204"/>
      <c r="C722" s="160" t="s">
        <v>1038</v>
      </c>
      <c r="D722" s="160"/>
      <c r="E722" s="161"/>
      <c r="F722" s="162"/>
    </row>
    <row r="723" spans="1:9" ht="24" customHeight="1">
      <c r="A723" s="203"/>
      <c r="B723" s="204"/>
      <c r="C723" s="160" t="s">
        <v>1039</v>
      </c>
      <c r="D723" s="160"/>
      <c r="E723" s="161"/>
      <c r="F723" s="162"/>
    </row>
    <row r="724" spans="1:9" ht="24" customHeight="1">
      <c r="A724" s="203"/>
      <c r="B724" s="204"/>
      <c r="C724" s="160" t="s">
        <v>1040</v>
      </c>
      <c r="D724" s="160"/>
      <c r="E724" s="161"/>
      <c r="F724" s="162"/>
    </row>
    <row r="725" spans="1:9" ht="24" customHeight="1">
      <c r="A725" s="188"/>
      <c r="B725" s="188"/>
      <c r="C725" s="175" t="s">
        <v>1041</v>
      </c>
      <c r="D725" s="188"/>
      <c r="E725" s="176"/>
      <c r="F725" s="160"/>
      <c r="H725" s="83"/>
    </row>
    <row r="726" spans="1:9" s="104" customFormat="1" ht="24" customHeight="1">
      <c r="A726" s="188"/>
      <c r="B726" s="188"/>
      <c r="C726" s="175" t="s">
        <v>361</v>
      </c>
      <c r="D726" s="188"/>
      <c r="E726" s="176"/>
      <c r="F726" s="160"/>
      <c r="H726" s="83"/>
    </row>
    <row r="727" spans="1:9" s="104" customFormat="1" ht="24" customHeight="1">
      <c r="A727" s="189"/>
      <c r="B727" s="189"/>
      <c r="C727" s="181"/>
      <c r="D727" s="189"/>
      <c r="E727" s="183"/>
      <c r="F727" s="165"/>
      <c r="H727" s="83"/>
    </row>
    <row r="728" spans="1:9" ht="24" customHeight="1">
      <c r="A728" s="187">
        <v>10</v>
      </c>
      <c r="B728" s="185" t="s">
        <v>373</v>
      </c>
      <c r="C728" s="185" t="s">
        <v>1042</v>
      </c>
      <c r="D728" s="155" t="s">
        <v>564</v>
      </c>
      <c r="E728" s="186">
        <v>300000</v>
      </c>
      <c r="F728" s="155" t="s">
        <v>397</v>
      </c>
      <c r="H728" s="64"/>
      <c r="I728" s="64"/>
    </row>
    <row r="729" spans="1:9" ht="24" customHeight="1">
      <c r="A729" s="188"/>
      <c r="B729" s="188"/>
      <c r="C729" s="175" t="s">
        <v>1043</v>
      </c>
      <c r="D729" s="160" t="s">
        <v>597</v>
      </c>
      <c r="E729" s="176"/>
      <c r="F729" s="160"/>
      <c r="H729" s="83"/>
      <c r="I729" s="73"/>
    </row>
    <row r="730" spans="1:9" ht="24" customHeight="1">
      <c r="A730" s="188"/>
      <c r="B730" s="188"/>
      <c r="C730" s="175" t="s">
        <v>1044</v>
      </c>
      <c r="D730" s="175"/>
      <c r="E730" s="176"/>
      <c r="F730" s="160"/>
      <c r="H730" s="83"/>
      <c r="I730" s="73"/>
    </row>
    <row r="731" spans="1:9" ht="24" customHeight="1">
      <c r="A731" s="188"/>
      <c r="B731" s="188"/>
      <c r="C731" s="175" t="s">
        <v>1045</v>
      </c>
      <c r="D731" s="188"/>
      <c r="E731" s="176"/>
      <c r="F731" s="160"/>
      <c r="H731" s="54"/>
    </row>
    <row r="732" spans="1:9" ht="24" customHeight="1">
      <c r="A732" s="188"/>
      <c r="B732" s="188"/>
      <c r="C732" s="175" t="s">
        <v>1046</v>
      </c>
      <c r="D732" s="188"/>
      <c r="E732" s="176"/>
      <c r="F732" s="160"/>
      <c r="H732" s="54"/>
    </row>
    <row r="733" spans="1:9" ht="24" customHeight="1">
      <c r="A733" s="188"/>
      <c r="B733" s="188"/>
      <c r="C733" s="175" t="s">
        <v>1047</v>
      </c>
      <c r="D733" s="188"/>
      <c r="E733" s="176"/>
      <c r="F733" s="160"/>
      <c r="H733" s="54"/>
    </row>
    <row r="734" spans="1:9" s="104" customFormat="1" ht="24" customHeight="1">
      <c r="A734" s="189"/>
      <c r="B734" s="189"/>
      <c r="C734" s="181"/>
      <c r="D734" s="189"/>
      <c r="E734" s="183"/>
      <c r="F734" s="165"/>
      <c r="H734" s="54"/>
    </row>
    <row r="735" spans="1:9" ht="24" customHeight="1">
      <c r="A735" s="322">
        <v>11</v>
      </c>
      <c r="B735" s="196" t="s">
        <v>374</v>
      </c>
      <c r="C735" s="185" t="s">
        <v>1048</v>
      </c>
      <c r="D735" s="155" t="s">
        <v>564</v>
      </c>
      <c r="E735" s="198">
        <v>100000</v>
      </c>
      <c r="F735" s="197" t="s">
        <v>397</v>
      </c>
      <c r="H735" s="64"/>
      <c r="I735" s="64"/>
    </row>
    <row r="736" spans="1:9" ht="24" customHeight="1">
      <c r="A736" s="188"/>
      <c r="B736" s="188"/>
      <c r="C736" s="175" t="s">
        <v>1043</v>
      </c>
      <c r="D736" s="160" t="s">
        <v>597</v>
      </c>
      <c r="E736" s="176"/>
      <c r="F736" s="160"/>
      <c r="H736" s="83"/>
      <c r="I736" s="73"/>
    </row>
    <row r="737" spans="1:9" ht="24" customHeight="1">
      <c r="A737" s="188"/>
      <c r="B737" s="188"/>
      <c r="C737" s="175" t="s">
        <v>1044</v>
      </c>
      <c r="D737" s="188"/>
      <c r="E737" s="176"/>
      <c r="F737" s="160"/>
      <c r="H737" s="83"/>
      <c r="I737" s="73"/>
    </row>
    <row r="738" spans="1:9" ht="24" customHeight="1">
      <c r="A738" s="188"/>
      <c r="B738" s="188"/>
      <c r="C738" s="175" t="s">
        <v>1045</v>
      </c>
      <c r="D738" s="188"/>
      <c r="E738" s="176"/>
      <c r="F738" s="160"/>
      <c r="H738" s="54"/>
    </row>
    <row r="739" spans="1:9" ht="24" customHeight="1">
      <c r="A739" s="188"/>
      <c r="B739" s="188"/>
      <c r="C739" s="175" t="s">
        <v>1046</v>
      </c>
      <c r="D739" s="188"/>
      <c r="E739" s="176"/>
      <c r="F739" s="160"/>
      <c r="H739" s="54"/>
    </row>
    <row r="740" spans="1:9" ht="24" customHeight="1">
      <c r="A740" s="188"/>
      <c r="B740" s="188"/>
      <c r="C740" s="175" t="s">
        <v>1047</v>
      </c>
      <c r="D740" s="188"/>
      <c r="E740" s="176"/>
      <c r="F740" s="160"/>
      <c r="H740" s="54"/>
    </row>
    <row r="741" spans="1:9" s="104" customFormat="1" ht="24" customHeight="1">
      <c r="A741" s="188"/>
      <c r="B741" s="188"/>
      <c r="C741" s="175"/>
      <c r="D741" s="188"/>
      <c r="E741" s="176"/>
      <c r="F741" s="160"/>
      <c r="H741" s="54"/>
    </row>
    <row r="742" spans="1:9" ht="24" customHeight="1">
      <c r="A742" s="188"/>
      <c r="B742" s="188"/>
      <c r="C742" s="175"/>
      <c r="D742" s="188"/>
      <c r="E742" s="176"/>
      <c r="F742" s="160"/>
      <c r="H742" s="54"/>
    </row>
    <row r="743" spans="1:9" ht="24" customHeight="1">
      <c r="A743" s="189"/>
      <c r="B743" s="189"/>
      <c r="C743" s="181"/>
      <c r="D743" s="189"/>
      <c r="E743" s="183"/>
      <c r="F743" s="165"/>
      <c r="H743" s="54"/>
    </row>
    <row r="744" spans="1:9" ht="24" customHeight="1">
      <c r="A744" s="84"/>
      <c r="B744" s="84"/>
      <c r="C744" s="84"/>
      <c r="D744" s="84"/>
      <c r="E744" s="143"/>
      <c r="F744" s="51"/>
      <c r="H744" s="83"/>
    </row>
    <row r="745" spans="1:9" ht="24" customHeight="1">
      <c r="A745" s="379" t="s">
        <v>1049</v>
      </c>
      <c r="B745" s="379"/>
      <c r="C745" s="379"/>
      <c r="D745" s="379"/>
      <c r="E745" s="379"/>
      <c r="F745" s="379"/>
    </row>
    <row r="746" spans="1:9" s="104" customFormat="1" ht="24" customHeight="1">
      <c r="A746" s="300"/>
      <c r="B746" s="300"/>
      <c r="C746" s="300"/>
      <c r="D746" s="300"/>
      <c r="E746" s="300"/>
      <c r="F746" s="300"/>
    </row>
    <row r="747" spans="1:9" ht="24" customHeight="1">
      <c r="A747" s="40" t="s">
        <v>41</v>
      </c>
      <c r="B747" s="40" t="s">
        <v>619</v>
      </c>
      <c r="C747" s="40" t="s">
        <v>620</v>
      </c>
      <c r="D747" s="40" t="s">
        <v>605</v>
      </c>
      <c r="E747" s="137" t="s">
        <v>31</v>
      </c>
      <c r="F747" s="40" t="s">
        <v>396</v>
      </c>
    </row>
    <row r="748" spans="1:9" ht="24" customHeight="1">
      <c r="A748" s="41" t="s">
        <v>40</v>
      </c>
      <c r="B748" s="41"/>
      <c r="C748" s="41"/>
      <c r="D748" s="41" t="s">
        <v>606</v>
      </c>
      <c r="E748" s="129"/>
      <c r="F748" s="42"/>
      <c r="H748" s="54"/>
    </row>
    <row r="749" spans="1:9" ht="24" customHeight="1">
      <c r="A749" s="187">
        <v>12</v>
      </c>
      <c r="B749" s="185" t="s">
        <v>375</v>
      </c>
      <c r="C749" s="185" t="s">
        <v>1050</v>
      </c>
      <c r="D749" s="155" t="s">
        <v>564</v>
      </c>
      <c r="E749" s="186">
        <v>100000</v>
      </c>
      <c r="F749" s="155" t="s">
        <v>397</v>
      </c>
      <c r="H749" s="64"/>
      <c r="I749" s="64"/>
    </row>
    <row r="750" spans="1:9" ht="24" customHeight="1">
      <c r="A750" s="188"/>
      <c r="B750" s="188"/>
      <c r="C750" s="175" t="s">
        <v>1051</v>
      </c>
      <c r="D750" s="160" t="s">
        <v>597</v>
      </c>
      <c r="E750" s="176"/>
      <c r="F750" s="160"/>
      <c r="H750" s="83"/>
      <c r="I750" s="73"/>
    </row>
    <row r="751" spans="1:9" ht="24" customHeight="1">
      <c r="A751" s="188"/>
      <c r="B751" s="188"/>
      <c r="C751" s="175" t="s">
        <v>1052</v>
      </c>
      <c r="D751" s="188"/>
      <c r="E751" s="176"/>
      <c r="F751" s="160"/>
      <c r="H751" s="83"/>
      <c r="I751" s="73"/>
    </row>
    <row r="752" spans="1:9" ht="24" customHeight="1">
      <c r="A752" s="188"/>
      <c r="B752" s="188"/>
      <c r="C752" s="175" t="s">
        <v>1053</v>
      </c>
      <c r="D752" s="188"/>
      <c r="E752" s="176"/>
      <c r="F752" s="160"/>
      <c r="H752" s="54"/>
    </row>
    <row r="753" spans="1:9" ht="24" customHeight="1">
      <c r="A753" s="188"/>
      <c r="B753" s="188"/>
      <c r="C753" s="175" t="s">
        <v>1054</v>
      </c>
      <c r="D753" s="188"/>
      <c r="E753" s="176"/>
      <c r="F753" s="160"/>
      <c r="H753" s="54"/>
    </row>
    <row r="754" spans="1:9" ht="24" customHeight="1">
      <c r="A754" s="188"/>
      <c r="B754" s="188"/>
      <c r="C754" s="175" t="s">
        <v>1056</v>
      </c>
      <c r="D754" s="188"/>
      <c r="E754" s="176"/>
      <c r="F754" s="160"/>
      <c r="H754" s="54"/>
    </row>
    <row r="755" spans="1:9" s="104" customFormat="1" ht="24" customHeight="1">
      <c r="A755" s="188"/>
      <c r="B755" s="188"/>
      <c r="C755" s="175" t="s">
        <v>1055</v>
      </c>
      <c r="D755" s="188"/>
      <c r="E755" s="176"/>
      <c r="F755" s="160"/>
      <c r="H755" s="54"/>
    </row>
    <row r="756" spans="1:9" ht="24" customHeight="1">
      <c r="A756" s="189"/>
      <c r="B756" s="189"/>
      <c r="C756" s="181"/>
      <c r="D756" s="189"/>
      <c r="E756" s="183"/>
      <c r="F756" s="165"/>
      <c r="H756" s="54"/>
    </row>
    <row r="757" spans="1:9" ht="24" customHeight="1">
      <c r="A757" s="187">
        <v>13</v>
      </c>
      <c r="B757" s="185" t="s">
        <v>575</v>
      </c>
      <c r="C757" s="185" t="s">
        <v>1034</v>
      </c>
      <c r="D757" s="155" t="s">
        <v>564</v>
      </c>
      <c r="E757" s="186">
        <v>100000</v>
      </c>
      <c r="F757" s="155" t="s">
        <v>397</v>
      </c>
      <c r="H757" s="64"/>
      <c r="I757" s="64"/>
    </row>
    <row r="758" spans="1:9" ht="24" customHeight="1">
      <c r="A758" s="175"/>
      <c r="B758" s="175" t="s">
        <v>26</v>
      </c>
      <c r="C758" s="175" t="s">
        <v>1057</v>
      </c>
      <c r="D758" s="160" t="s">
        <v>998</v>
      </c>
      <c r="E758" s="176"/>
      <c r="F758" s="175"/>
      <c r="H758" s="83"/>
      <c r="I758" s="73"/>
    </row>
    <row r="759" spans="1:9" ht="24" customHeight="1">
      <c r="A759" s="175"/>
      <c r="B759" s="175"/>
      <c r="C759" s="175" t="s">
        <v>1058</v>
      </c>
      <c r="D759" s="175" t="s">
        <v>608</v>
      </c>
      <c r="E759" s="176"/>
      <c r="F759" s="175"/>
      <c r="H759" s="83"/>
      <c r="I759" s="73"/>
    </row>
    <row r="760" spans="1:9" ht="24" customHeight="1">
      <c r="A760" s="175"/>
      <c r="B760" s="175"/>
      <c r="C760" s="175" t="s">
        <v>1059</v>
      </c>
      <c r="D760" s="175" t="s">
        <v>609</v>
      </c>
      <c r="E760" s="176"/>
      <c r="F760" s="175"/>
      <c r="H760" s="54"/>
    </row>
    <row r="761" spans="1:9" ht="24" customHeight="1">
      <c r="A761" s="175"/>
      <c r="B761" s="175"/>
      <c r="C761" s="175" t="s">
        <v>1060</v>
      </c>
      <c r="D761" s="175"/>
      <c r="E761" s="176"/>
      <c r="F761" s="175"/>
      <c r="H761" s="54"/>
    </row>
    <row r="762" spans="1:9" ht="24" customHeight="1">
      <c r="A762" s="175"/>
      <c r="B762" s="175"/>
      <c r="C762" s="175" t="s">
        <v>1061</v>
      </c>
      <c r="D762" s="175"/>
      <c r="E762" s="176"/>
      <c r="F762" s="175"/>
      <c r="H762" s="54"/>
    </row>
    <row r="763" spans="1:9" s="104" customFormat="1" ht="24" customHeight="1">
      <c r="A763" s="181"/>
      <c r="B763" s="181"/>
      <c r="C763" s="181"/>
      <c r="D763" s="181"/>
      <c r="E763" s="183"/>
      <c r="F763" s="181"/>
      <c r="H763" s="54"/>
    </row>
    <row r="764" spans="1:9" ht="24" customHeight="1">
      <c r="A764" s="190">
        <v>14</v>
      </c>
      <c r="B764" s="168" t="s">
        <v>2</v>
      </c>
      <c r="C764" s="155" t="s">
        <v>1062</v>
      </c>
      <c r="D764" s="155" t="s">
        <v>564</v>
      </c>
      <c r="E764" s="156">
        <v>100000</v>
      </c>
      <c r="F764" s="155" t="s">
        <v>397</v>
      </c>
      <c r="G764" s="56"/>
      <c r="H764" s="83"/>
    </row>
    <row r="765" spans="1:9" ht="24" customHeight="1">
      <c r="A765" s="158"/>
      <c r="B765" s="192" t="s">
        <v>3</v>
      </c>
      <c r="C765" s="160" t="s">
        <v>1063</v>
      </c>
      <c r="D765" s="160" t="s">
        <v>998</v>
      </c>
      <c r="E765" s="161"/>
      <c r="F765" s="162"/>
    </row>
    <row r="766" spans="1:9" ht="24" customHeight="1">
      <c r="A766" s="158"/>
      <c r="B766" s="192"/>
      <c r="C766" s="299" t="s">
        <v>1064</v>
      </c>
      <c r="D766" s="175" t="s">
        <v>608</v>
      </c>
      <c r="E766" s="161"/>
      <c r="F766" s="162"/>
    </row>
    <row r="767" spans="1:9" ht="24" customHeight="1">
      <c r="A767" s="158"/>
      <c r="B767" s="192"/>
      <c r="C767" s="160" t="s">
        <v>1065</v>
      </c>
      <c r="D767" s="175" t="s">
        <v>609</v>
      </c>
      <c r="E767" s="161"/>
      <c r="F767" s="162"/>
    </row>
    <row r="768" spans="1:9" ht="24" customHeight="1">
      <c r="A768" s="171"/>
      <c r="B768" s="284"/>
      <c r="C768" s="160" t="s">
        <v>1066</v>
      </c>
      <c r="D768" s="229"/>
      <c r="E768" s="173"/>
      <c r="F768" s="162"/>
      <c r="H768" s="54"/>
    </row>
    <row r="769" spans="1:9" ht="24" customHeight="1">
      <c r="A769" s="158"/>
      <c r="B769" s="192"/>
      <c r="C769" s="160" t="s">
        <v>1067</v>
      </c>
      <c r="D769" s="193"/>
      <c r="E769" s="161"/>
      <c r="F769" s="162"/>
    </row>
    <row r="770" spans="1:9" ht="24" customHeight="1">
      <c r="A770" s="158"/>
      <c r="B770" s="192"/>
      <c r="C770" s="160" t="s">
        <v>576</v>
      </c>
      <c r="D770" s="193"/>
      <c r="E770" s="161"/>
      <c r="F770" s="162"/>
    </row>
    <row r="771" spans="1:9" ht="24" customHeight="1">
      <c r="A771" s="158"/>
      <c r="B771" s="192"/>
      <c r="C771" s="160" t="s">
        <v>577</v>
      </c>
      <c r="D771" s="193"/>
      <c r="E771" s="161"/>
      <c r="F771" s="162"/>
    </row>
    <row r="772" spans="1:9" ht="24" customHeight="1">
      <c r="A772" s="158"/>
      <c r="B772" s="192"/>
      <c r="C772" s="160"/>
      <c r="D772" s="193"/>
      <c r="E772" s="161"/>
      <c r="F772" s="162"/>
    </row>
    <row r="773" spans="1:9" ht="24" customHeight="1">
      <c r="A773" s="158"/>
      <c r="B773" s="192"/>
      <c r="C773" s="160"/>
      <c r="D773" s="193"/>
      <c r="E773" s="161"/>
      <c r="F773" s="162"/>
    </row>
    <row r="774" spans="1:9" ht="24" customHeight="1">
      <c r="A774" s="181"/>
      <c r="B774" s="181"/>
      <c r="C774" s="181"/>
      <c r="D774" s="181"/>
      <c r="E774" s="183"/>
      <c r="F774" s="181"/>
      <c r="H774" s="54"/>
    </row>
    <row r="775" spans="1:9" ht="24" customHeight="1">
      <c r="A775" s="50"/>
      <c r="B775" s="50"/>
      <c r="C775" s="50"/>
      <c r="D775" s="50"/>
      <c r="E775" s="143"/>
      <c r="F775" s="50"/>
      <c r="H775" s="54"/>
    </row>
    <row r="776" spans="1:9" ht="24" customHeight="1">
      <c r="A776" s="379" t="s">
        <v>1068</v>
      </c>
      <c r="B776" s="379"/>
      <c r="C776" s="379"/>
      <c r="D776" s="379"/>
      <c r="E776" s="379"/>
      <c r="F776" s="379"/>
    </row>
    <row r="777" spans="1:9" ht="24" customHeight="1">
      <c r="A777" s="40" t="s">
        <v>41</v>
      </c>
      <c r="B777" s="40" t="s">
        <v>619</v>
      </c>
      <c r="C777" s="40" t="s">
        <v>620</v>
      </c>
      <c r="D777" s="40" t="s">
        <v>605</v>
      </c>
      <c r="E777" s="137" t="s">
        <v>31</v>
      </c>
      <c r="F777" s="40" t="s">
        <v>396</v>
      </c>
      <c r="H777" s="323"/>
      <c r="I777"/>
    </row>
    <row r="778" spans="1:9" ht="24" customHeight="1">
      <c r="A778" s="41" t="s">
        <v>40</v>
      </c>
      <c r="B778" s="41"/>
      <c r="C778" s="41"/>
      <c r="D778" s="41" t="s">
        <v>606</v>
      </c>
      <c r="E778" s="129"/>
      <c r="F778" s="42"/>
      <c r="H778" s="64"/>
      <c r="I778"/>
    </row>
    <row r="779" spans="1:9" ht="24" customHeight="1">
      <c r="A779" s="190">
        <v>15</v>
      </c>
      <c r="B779" s="168" t="s">
        <v>5</v>
      </c>
      <c r="C779" s="155" t="s">
        <v>376</v>
      </c>
      <c r="D779" s="155" t="s">
        <v>402</v>
      </c>
      <c r="E779" s="156">
        <v>1000000</v>
      </c>
      <c r="F779" s="155" t="s">
        <v>397</v>
      </c>
      <c r="H779" s="64" t="s">
        <v>1074</v>
      </c>
      <c r="I779"/>
    </row>
    <row r="780" spans="1:9" ht="24" customHeight="1">
      <c r="A780" s="158"/>
      <c r="B780" s="192" t="s">
        <v>4</v>
      </c>
      <c r="C780" s="160" t="s">
        <v>578</v>
      </c>
      <c r="D780" s="160" t="s">
        <v>37</v>
      </c>
      <c r="E780" s="161"/>
      <c r="F780" s="162"/>
      <c r="H780" s="64"/>
      <c r="I780"/>
    </row>
    <row r="781" spans="1:9" ht="24" customHeight="1">
      <c r="A781" s="158"/>
      <c r="B781" s="192"/>
      <c r="C781" s="160" t="s">
        <v>377</v>
      </c>
      <c r="D781" s="160"/>
      <c r="E781" s="161"/>
      <c r="F781" s="162"/>
      <c r="H781" s="64" t="s">
        <v>229</v>
      </c>
      <c r="I781" s="64" t="s">
        <v>1082</v>
      </c>
    </row>
    <row r="782" spans="1:9" ht="24" customHeight="1">
      <c r="A782" s="158"/>
      <c r="B782" s="192"/>
      <c r="C782" s="160" t="s">
        <v>378</v>
      </c>
      <c r="D782" s="160"/>
      <c r="E782" s="161"/>
      <c r="F782" s="162"/>
      <c r="H782" s="324" t="s">
        <v>1079</v>
      </c>
      <c r="I782"/>
    </row>
    <row r="783" spans="1:9" s="104" customFormat="1" ht="24" customHeight="1">
      <c r="A783" s="302"/>
      <c r="B783" s="208" t="s">
        <v>24</v>
      </c>
      <c r="C783" s="155"/>
      <c r="D783" s="252"/>
      <c r="E783" s="209">
        <f>SUM(E784)</f>
        <v>150000</v>
      </c>
      <c r="F783" s="157"/>
      <c r="H783" s="64" t="s">
        <v>1085</v>
      </c>
      <c r="I783"/>
    </row>
    <row r="784" spans="1:9" s="104" customFormat="1" ht="24" customHeight="1">
      <c r="A784" s="331"/>
      <c r="B784" s="364" t="s">
        <v>1312</v>
      </c>
      <c r="C784" s="197"/>
      <c r="D784" s="272"/>
      <c r="E784" s="360">
        <f>SUM(E785:E805)</f>
        <v>150000</v>
      </c>
      <c r="F784" s="286"/>
      <c r="H784" s="64"/>
      <c r="I784" s="105"/>
    </row>
    <row r="785" spans="1:9" s="104" customFormat="1" ht="24" customHeight="1">
      <c r="A785" s="226">
        <v>1</v>
      </c>
      <c r="B785" s="192" t="s">
        <v>1069</v>
      </c>
      <c r="C785" s="160" t="s">
        <v>1071</v>
      </c>
      <c r="D785" s="193" t="s">
        <v>1087</v>
      </c>
      <c r="E785" s="202">
        <v>150000</v>
      </c>
      <c r="F785" s="162" t="s">
        <v>398</v>
      </c>
      <c r="H785" s="64"/>
      <c r="I785"/>
    </row>
    <row r="786" spans="1:9" s="104" customFormat="1" ht="24" customHeight="1">
      <c r="A786" s="203"/>
      <c r="B786" s="192" t="s">
        <v>1070</v>
      </c>
      <c r="C786" s="160" t="s">
        <v>1072</v>
      </c>
      <c r="D786" s="193" t="s">
        <v>1088</v>
      </c>
      <c r="E786" s="202"/>
      <c r="F786" s="162" t="s">
        <v>618</v>
      </c>
    </row>
    <row r="787" spans="1:9" s="104" customFormat="1" ht="24" customHeight="1">
      <c r="A787" s="203"/>
      <c r="B787" s="204"/>
      <c r="C787" s="160" t="s">
        <v>1073</v>
      </c>
      <c r="D787" s="193" t="s">
        <v>1089</v>
      </c>
      <c r="E787" s="202"/>
      <c r="F787" s="162"/>
    </row>
    <row r="788" spans="1:9" s="104" customFormat="1" ht="24" customHeight="1">
      <c r="A788" s="203"/>
      <c r="B788" s="204"/>
      <c r="C788" s="160" t="s">
        <v>1075</v>
      </c>
      <c r="D788" s="193"/>
      <c r="E788" s="202"/>
      <c r="F788" s="162"/>
    </row>
    <row r="789" spans="1:9" s="104" customFormat="1" ht="24" customHeight="1">
      <c r="A789" s="203"/>
      <c r="B789" s="204"/>
      <c r="C789" s="160" t="s">
        <v>1076</v>
      </c>
      <c r="D789" s="193"/>
      <c r="E789" s="202"/>
      <c r="F789" s="162"/>
    </row>
    <row r="790" spans="1:9" s="104" customFormat="1" ht="24" customHeight="1">
      <c r="A790" s="203"/>
      <c r="B790" s="204"/>
      <c r="C790" s="160" t="s">
        <v>1077</v>
      </c>
      <c r="D790" s="193"/>
      <c r="E790" s="202"/>
      <c r="F790" s="162"/>
    </row>
    <row r="791" spans="1:9" s="104" customFormat="1" ht="24" customHeight="1">
      <c r="A791" s="203"/>
      <c r="B791" s="204"/>
      <c r="C791" s="160" t="s">
        <v>1090</v>
      </c>
      <c r="D791" s="193"/>
      <c r="E791" s="202"/>
      <c r="F791" s="162"/>
    </row>
    <row r="792" spans="1:9" s="104" customFormat="1" ht="24" customHeight="1">
      <c r="A792" s="203"/>
      <c r="B792" s="204"/>
      <c r="C792" s="160" t="s">
        <v>1078</v>
      </c>
      <c r="D792" s="193"/>
      <c r="E792" s="202"/>
      <c r="F792" s="162"/>
    </row>
    <row r="793" spans="1:9" s="104" customFormat="1" ht="24" customHeight="1">
      <c r="A793" s="203"/>
      <c r="B793" s="204"/>
      <c r="C793" s="160" t="s">
        <v>1083</v>
      </c>
      <c r="D793" s="193"/>
      <c r="E793" s="202"/>
      <c r="F793" s="162"/>
    </row>
    <row r="794" spans="1:9" s="104" customFormat="1" ht="24" customHeight="1">
      <c r="A794" s="203"/>
      <c r="B794" s="204"/>
      <c r="C794" s="160" t="s">
        <v>1084</v>
      </c>
      <c r="D794" s="193"/>
      <c r="E794" s="202"/>
      <c r="F794" s="162"/>
    </row>
    <row r="795" spans="1:9" s="104" customFormat="1" ht="24" customHeight="1">
      <c r="A795" s="203"/>
      <c r="B795" s="204"/>
      <c r="C795" s="160" t="s">
        <v>1091</v>
      </c>
      <c r="D795" s="193"/>
      <c r="E795" s="202"/>
      <c r="F795" s="162"/>
    </row>
    <row r="796" spans="1:9" s="104" customFormat="1" ht="24" customHeight="1">
      <c r="A796" s="203"/>
      <c r="B796" s="204"/>
      <c r="C796" s="160" t="s">
        <v>1092</v>
      </c>
      <c r="D796" s="193"/>
      <c r="E796" s="202"/>
      <c r="F796" s="162"/>
    </row>
    <row r="797" spans="1:9" s="104" customFormat="1" ht="24" customHeight="1">
      <c r="A797" s="203"/>
      <c r="B797" s="204"/>
      <c r="C797" s="160" t="s">
        <v>1093</v>
      </c>
      <c r="D797" s="193"/>
      <c r="E797" s="202"/>
      <c r="F797" s="162"/>
    </row>
    <row r="798" spans="1:9" s="104" customFormat="1" ht="24" customHeight="1">
      <c r="A798" s="203"/>
      <c r="B798" s="204"/>
      <c r="C798" s="160" t="s">
        <v>1080</v>
      </c>
      <c r="D798" s="193"/>
      <c r="E798" s="202"/>
      <c r="F798" s="162"/>
    </row>
    <row r="799" spans="1:9" s="104" customFormat="1" ht="24" customHeight="1">
      <c r="A799" s="203"/>
      <c r="B799" s="204"/>
      <c r="C799" s="160" t="s">
        <v>1081</v>
      </c>
      <c r="D799" s="193"/>
      <c r="E799" s="202"/>
      <c r="F799" s="162"/>
    </row>
    <row r="800" spans="1:9" s="104" customFormat="1" ht="24" customHeight="1">
      <c r="A800" s="203"/>
      <c r="B800" s="204"/>
      <c r="C800" s="160" t="s">
        <v>1094</v>
      </c>
      <c r="D800" s="193"/>
      <c r="E800" s="202"/>
      <c r="F800" s="162"/>
    </row>
    <row r="801" spans="1:8" s="104" customFormat="1" ht="24" customHeight="1">
      <c r="A801" s="203"/>
      <c r="B801" s="204"/>
      <c r="C801" s="160" t="s">
        <v>1086</v>
      </c>
      <c r="D801" s="193"/>
      <c r="E801" s="202"/>
      <c r="F801" s="162"/>
    </row>
    <row r="802" spans="1:8" s="104" customFormat="1" ht="24" customHeight="1">
      <c r="A802" s="203"/>
      <c r="B802" s="204"/>
      <c r="C802" s="160" t="s">
        <v>1098</v>
      </c>
      <c r="D802" s="193"/>
      <c r="E802" s="202"/>
      <c r="F802" s="162"/>
    </row>
    <row r="803" spans="1:8" s="104" customFormat="1" ht="24" customHeight="1">
      <c r="A803" s="203"/>
      <c r="B803" s="204"/>
      <c r="C803" s="160" t="s">
        <v>1095</v>
      </c>
      <c r="D803" s="193"/>
      <c r="E803" s="202"/>
      <c r="F803" s="162"/>
    </row>
    <row r="804" spans="1:8" s="104" customFormat="1" ht="24" customHeight="1">
      <c r="A804" s="203"/>
      <c r="B804" s="204"/>
      <c r="C804" s="160" t="s">
        <v>1096</v>
      </c>
      <c r="D804" s="193"/>
      <c r="E804" s="202"/>
      <c r="F804" s="162"/>
    </row>
    <row r="805" spans="1:8" s="104" customFormat="1" ht="24" customHeight="1">
      <c r="A805" s="206"/>
      <c r="B805" s="207"/>
      <c r="C805" s="165" t="s">
        <v>1097</v>
      </c>
      <c r="D805" s="261"/>
      <c r="E805" s="213"/>
      <c r="F805" s="167"/>
    </row>
    <row r="806" spans="1:8" s="104" customFormat="1" ht="24" customHeight="1">
      <c r="A806" s="80"/>
      <c r="B806" s="49"/>
      <c r="C806" s="51"/>
      <c r="D806" s="51"/>
      <c r="E806" s="144"/>
      <c r="F806" s="52"/>
    </row>
    <row r="807" spans="1:8" ht="24" customHeight="1">
      <c r="A807" s="379" t="s">
        <v>1099</v>
      </c>
      <c r="B807" s="379"/>
      <c r="C807" s="379"/>
      <c r="D807" s="379"/>
      <c r="E807" s="379"/>
      <c r="F807" s="379"/>
    </row>
    <row r="808" spans="1:8" ht="24" customHeight="1">
      <c r="A808" s="70"/>
      <c r="B808" s="70" t="s">
        <v>276</v>
      </c>
      <c r="C808" s="70"/>
      <c r="D808" s="70"/>
      <c r="E808" s="136"/>
      <c r="F808" s="72"/>
    </row>
    <row r="809" spans="1:8" ht="24" customHeight="1">
      <c r="A809" s="40" t="s">
        <v>41</v>
      </c>
      <c r="B809" s="40" t="s">
        <v>619</v>
      </c>
      <c r="C809" s="40" t="s">
        <v>620</v>
      </c>
      <c r="D809" s="40" t="s">
        <v>605</v>
      </c>
      <c r="E809" s="137" t="s">
        <v>31</v>
      </c>
      <c r="F809" s="40" t="s">
        <v>396</v>
      </c>
    </row>
    <row r="810" spans="1:8" ht="24" customHeight="1">
      <c r="A810" s="41" t="s">
        <v>40</v>
      </c>
      <c r="B810" s="41"/>
      <c r="C810" s="41"/>
      <c r="D810" s="41" t="s">
        <v>606</v>
      </c>
      <c r="E810" s="129"/>
      <c r="F810" s="42"/>
      <c r="H810" s="54"/>
    </row>
    <row r="811" spans="1:8" ht="24" customHeight="1">
      <c r="A811" s="154"/>
      <c r="B811" s="303" t="s">
        <v>6</v>
      </c>
      <c r="C811" s="227"/>
      <c r="D811" s="325"/>
      <c r="E811" s="304">
        <f>SUM(E812,E857)</f>
        <v>274185000</v>
      </c>
      <c r="F811" s="157"/>
    </row>
    <row r="812" spans="1:8" ht="24" customHeight="1">
      <c r="A812" s="158"/>
      <c r="B812" s="305" t="s">
        <v>23</v>
      </c>
      <c r="C812" s="162"/>
      <c r="D812" s="162"/>
      <c r="E812" s="306">
        <f>SUM(E813:E836,E842:E856)</f>
        <v>27340000</v>
      </c>
      <c r="F812" s="162"/>
    </row>
    <row r="813" spans="1:8" ht="24" customHeight="1">
      <c r="A813" s="226">
        <v>1</v>
      </c>
      <c r="B813" s="192" t="s">
        <v>380</v>
      </c>
      <c r="C813" s="160" t="s">
        <v>7</v>
      </c>
      <c r="D813" s="160" t="s">
        <v>402</v>
      </c>
      <c r="E813" s="161">
        <v>4000000</v>
      </c>
      <c r="F813" s="160" t="s">
        <v>397</v>
      </c>
    </row>
    <row r="814" spans="1:8" ht="24" customHeight="1">
      <c r="A814" s="158"/>
      <c r="B814" s="192"/>
      <c r="C814" s="160" t="s">
        <v>8</v>
      </c>
      <c r="D814" s="160" t="s">
        <v>37</v>
      </c>
      <c r="E814" s="176"/>
      <c r="F814" s="162"/>
    </row>
    <row r="815" spans="1:8" ht="24" customHeight="1">
      <c r="A815" s="163"/>
      <c r="B815" s="164"/>
      <c r="C815" s="165"/>
      <c r="D815" s="165"/>
      <c r="E815" s="213"/>
      <c r="F815" s="167"/>
    </row>
    <row r="816" spans="1:8" ht="24" customHeight="1">
      <c r="A816" s="190">
        <v>2</v>
      </c>
      <c r="B816" s="168" t="s">
        <v>9</v>
      </c>
      <c r="C816" s="155" t="s">
        <v>10</v>
      </c>
      <c r="D816" s="155" t="s">
        <v>402</v>
      </c>
      <c r="E816" s="156">
        <v>4000000</v>
      </c>
      <c r="F816" s="155" t="s">
        <v>397</v>
      </c>
    </row>
    <row r="817" spans="1:8" ht="24" customHeight="1">
      <c r="A817" s="158"/>
      <c r="B817" s="192"/>
      <c r="C817" s="160" t="s">
        <v>11</v>
      </c>
      <c r="D817" s="160" t="s">
        <v>37</v>
      </c>
      <c r="E817" s="161"/>
      <c r="F817" s="160"/>
    </row>
    <row r="818" spans="1:8" ht="24" customHeight="1">
      <c r="A818" s="203"/>
      <c r="B818" s="204"/>
      <c r="C818" s="160" t="s">
        <v>12</v>
      </c>
      <c r="D818" s="160"/>
      <c r="E818" s="161"/>
      <c r="F818" s="160"/>
    </row>
    <row r="819" spans="1:8" ht="24" customHeight="1">
      <c r="A819" s="206"/>
      <c r="B819" s="207"/>
      <c r="C819" s="165"/>
      <c r="D819" s="165"/>
      <c r="E819" s="166"/>
      <c r="F819" s="165"/>
    </row>
    <row r="820" spans="1:8" ht="24" customHeight="1">
      <c r="A820" s="187">
        <v>3</v>
      </c>
      <c r="B820" s="185" t="s">
        <v>381</v>
      </c>
      <c r="C820" s="185" t="s">
        <v>580</v>
      </c>
      <c r="D820" s="155" t="s">
        <v>402</v>
      </c>
      <c r="E820" s="186">
        <v>10000000</v>
      </c>
      <c r="F820" s="155" t="s">
        <v>397</v>
      </c>
      <c r="H820" s="54"/>
    </row>
    <row r="821" spans="1:8" ht="24" customHeight="1">
      <c r="A821" s="188"/>
      <c r="B821" s="175" t="s">
        <v>579</v>
      </c>
      <c r="C821" s="175" t="s">
        <v>581</v>
      </c>
      <c r="D821" s="160" t="s">
        <v>37</v>
      </c>
      <c r="E821" s="176"/>
      <c r="F821" s="160"/>
      <c r="H821" s="54"/>
    </row>
    <row r="822" spans="1:8" s="104" customFormat="1" ht="24" customHeight="1">
      <c r="A822" s="188"/>
      <c r="B822" s="175" t="s">
        <v>223</v>
      </c>
      <c r="C822" s="175"/>
      <c r="D822" s="160"/>
      <c r="E822" s="176"/>
      <c r="F822" s="160"/>
      <c r="H822" s="54"/>
    </row>
    <row r="823" spans="1:8" ht="24" customHeight="1">
      <c r="A823" s="189"/>
      <c r="B823" s="189"/>
      <c r="C823" s="189"/>
      <c r="D823" s="189"/>
      <c r="E823" s="183"/>
      <c r="F823" s="165"/>
      <c r="H823" s="54"/>
    </row>
    <row r="824" spans="1:8" ht="24" customHeight="1">
      <c r="A824" s="187">
        <v>4</v>
      </c>
      <c r="B824" s="185" t="s">
        <v>1100</v>
      </c>
      <c r="C824" s="185" t="s">
        <v>382</v>
      </c>
      <c r="D824" s="155" t="s">
        <v>402</v>
      </c>
      <c r="E824" s="186">
        <v>3700000</v>
      </c>
      <c r="F824" s="155" t="s">
        <v>397</v>
      </c>
      <c r="H824" s="54"/>
    </row>
    <row r="825" spans="1:8" ht="24" customHeight="1">
      <c r="A825" s="188"/>
      <c r="B825" s="175" t="s">
        <v>1101</v>
      </c>
      <c r="C825" s="175" t="s">
        <v>383</v>
      </c>
      <c r="D825" s="160" t="s">
        <v>37</v>
      </c>
      <c r="E825" s="176"/>
      <c r="F825" s="160"/>
      <c r="H825" s="54"/>
    </row>
    <row r="826" spans="1:8" ht="24" customHeight="1">
      <c r="A826" s="188"/>
      <c r="B826" s="175" t="s">
        <v>224</v>
      </c>
      <c r="C826" s="175" t="s">
        <v>1102</v>
      </c>
      <c r="D826" s="188"/>
      <c r="E826" s="176"/>
      <c r="F826" s="160"/>
      <c r="H826" s="54"/>
    </row>
    <row r="827" spans="1:8" ht="24" customHeight="1">
      <c r="A827" s="189"/>
      <c r="B827" s="181"/>
      <c r="C827" s="181"/>
      <c r="D827" s="189"/>
      <c r="E827" s="183"/>
      <c r="F827" s="165"/>
      <c r="H827" s="54"/>
    </row>
    <row r="828" spans="1:8" s="104" customFormat="1" ht="24" customHeight="1">
      <c r="A828" s="187">
        <v>5</v>
      </c>
      <c r="B828" s="185" t="s">
        <v>1103</v>
      </c>
      <c r="C828" s="185" t="s">
        <v>1105</v>
      </c>
      <c r="D828" s="155" t="s">
        <v>402</v>
      </c>
      <c r="E828" s="186">
        <v>2000000</v>
      </c>
      <c r="F828" s="155" t="s">
        <v>397</v>
      </c>
      <c r="H828" s="54"/>
    </row>
    <row r="829" spans="1:8" s="104" customFormat="1" ht="24" customHeight="1">
      <c r="A829" s="188"/>
      <c r="B829" s="175" t="s">
        <v>1104</v>
      </c>
      <c r="C829" s="175" t="s">
        <v>1106</v>
      </c>
      <c r="D829" s="160" t="s">
        <v>37</v>
      </c>
      <c r="E829" s="176"/>
      <c r="F829" s="160"/>
      <c r="H829" s="54"/>
    </row>
    <row r="830" spans="1:8" s="104" customFormat="1" ht="24" customHeight="1">
      <c r="A830" s="188"/>
      <c r="B830" s="175" t="s">
        <v>230</v>
      </c>
      <c r="C830" s="175" t="s">
        <v>1107</v>
      </c>
      <c r="D830" s="188"/>
      <c r="E830" s="176"/>
      <c r="F830" s="160"/>
      <c r="H830" s="54"/>
    </row>
    <row r="831" spans="1:8" s="104" customFormat="1" ht="24" customHeight="1">
      <c r="A831" s="189"/>
      <c r="B831" s="181"/>
      <c r="C831" s="181"/>
      <c r="D831" s="189"/>
      <c r="E831" s="183"/>
      <c r="F831" s="165"/>
      <c r="H831" s="54"/>
    </row>
    <row r="832" spans="1:8" s="104" customFormat="1" ht="24" customHeight="1">
      <c r="A832" s="187">
        <v>6</v>
      </c>
      <c r="B832" s="185" t="s">
        <v>1108</v>
      </c>
      <c r="C832" s="185" t="s">
        <v>1112</v>
      </c>
      <c r="D832" s="185" t="s">
        <v>564</v>
      </c>
      <c r="E832" s="186">
        <v>1100000</v>
      </c>
      <c r="F832" s="155" t="s">
        <v>397</v>
      </c>
    </row>
    <row r="833" spans="1:8" s="104" customFormat="1" ht="24" customHeight="1">
      <c r="A833" s="188"/>
      <c r="B833" s="175" t="s">
        <v>1109</v>
      </c>
      <c r="C833" s="175" t="s">
        <v>1113</v>
      </c>
      <c r="D833" s="175" t="s">
        <v>37</v>
      </c>
      <c r="E833" s="176"/>
      <c r="F833" s="160"/>
    </row>
    <row r="834" spans="1:8" s="104" customFormat="1" ht="24" customHeight="1">
      <c r="A834" s="188"/>
      <c r="B834" s="175" t="s">
        <v>1110</v>
      </c>
      <c r="C834" s="175" t="s">
        <v>1114</v>
      </c>
      <c r="D834" s="188"/>
      <c r="E834" s="176"/>
      <c r="F834" s="160"/>
    </row>
    <row r="835" spans="1:8" s="104" customFormat="1" ht="24" customHeight="1">
      <c r="A835" s="188"/>
      <c r="B835" s="175" t="s">
        <v>1111</v>
      </c>
      <c r="C835" s="175"/>
      <c r="D835" s="188"/>
      <c r="E835" s="176"/>
      <c r="F835" s="160"/>
      <c r="H835" s="54"/>
    </row>
    <row r="836" spans="1:8" s="104" customFormat="1" ht="24" customHeight="1">
      <c r="A836" s="189"/>
      <c r="B836" s="181"/>
      <c r="C836" s="181"/>
      <c r="D836" s="189"/>
      <c r="E836" s="183"/>
      <c r="F836" s="165"/>
      <c r="H836" s="54"/>
    </row>
    <row r="837" spans="1:8" s="104" customFormat="1" ht="24" customHeight="1">
      <c r="A837" s="301"/>
      <c r="B837" s="55"/>
      <c r="C837" s="55"/>
      <c r="D837" s="301"/>
      <c r="E837" s="145"/>
      <c r="F837" s="56"/>
      <c r="H837" s="54"/>
    </row>
    <row r="838" spans="1:8" ht="24" customHeight="1">
      <c r="A838" s="379" t="s">
        <v>1128</v>
      </c>
      <c r="B838" s="379"/>
      <c r="C838" s="379"/>
      <c r="D838" s="379"/>
      <c r="E838" s="379"/>
      <c r="F838" s="379"/>
    </row>
    <row r="839" spans="1:8" ht="24" customHeight="1">
      <c r="A839" s="70"/>
      <c r="B839" s="70" t="s">
        <v>276</v>
      </c>
      <c r="C839" s="70"/>
      <c r="D839" s="70"/>
      <c r="E839" s="136"/>
      <c r="F839" s="72"/>
    </row>
    <row r="840" spans="1:8" ht="24" customHeight="1">
      <c r="A840" s="40" t="s">
        <v>41</v>
      </c>
      <c r="B840" s="40" t="s">
        <v>619</v>
      </c>
      <c r="C840" s="40" t="s">
        <v>620</v>
      </c>
      <c r="D840" s="40" t="s">
        <v>605</v>
      </c>
      <c r="E840" s="137" t="s">
        <v>31</v>
      </c>
      <c r="F840" s="40" t="s">
        <v>396</v>
      </c>
    </row>
    <row r="841" spans="1:8" ht="24" customHeight="1">
      <c r="A841" s="41" t="s">
        <v>40</v>
      </c>
      <c r="B841" s="41"/>
      <c r="C841" s="41"/>
      <c r="D841" s="41" t="s">
        <v>606</v>
      </c>
      <c r="E841" s="129"/>
      <c r="F841" s="42"/>
      <c r="H841" s="54"/>
    </row>
    <row r="842" spans="1:8" s="104" customFormat="1" ht="24" customHeight="1">
      <c r="A842" s="187">
        <v>7</v>
      </c>
      <c r="B842" s="185" t="s">
        <v>1115</v>
      </c>
      <c r="C842" s="185" t="s">
        <v>1116</v>
      </c>
      <c r="D842" s="155" t="s">
        <v>564</v>
      </c>
      <c r="E842" s="186">
        <v>40000</v>
      </c>
      <c r="F842" s="155" t="s">
        <v>397</v>
      </c>
      <c r="H842" s="54"/>
    </row>
    <row r="843" spans="1:8" s="104" customFormat="1" ht="24" customHeight="1">
      <c r="A843" s="188"/>
      <c r="B843" s="175"/>
      <c r="C843" s="175" t="s">
        <v>1117</v>
      </c>
      <c r="D843" s="160" t="s">
        <v>998</v>
      </c>
      <c r="E843" s="176"/>
      <c r="F843" s="160"/>
      <c r="H843" s="54"/>
    </row>
    <row r="844" spans="1:8" s="104" customFormat="1" ht="24" customHeight="1">
      <c r="A844" s="188"/>
      <c r="B844" s="175"/>
      <c r="C844" s="175" t="s">
        <v>1118</v>
      </c>
      <c r="D844" s="175" t="s">
        <v>608</v>
      </c>
      <c r="E844" s="176"/>
      <c r="F844" s="160"/>
      <c r="H844" s="54"/>
    </row>
    <row r="845" spans="1:8" s="104" customFormat="1" ht="24" customHeight="1">
      <c r="A845" s="188"/>
      <c r="B845" s="175"/>
      <c r="C845" s="175" t="s">
        <v>1119</v>
      </c>
      <c r="D845" s="175" t="s">
        <v>609</v>
      </c>
      <c r="E845" s="176"/>
      <c r="F845" s="160"/>
      <c r="H845" s="54"/>
    </row>
    <row r="846" spans="1:8" s="104" customFormat="1" ht="24" customHeight="1">
      <c r="A846" s="188"/>
      <c r="B846" s="175"/>
      <c r="C846" s="175" t="s">
        <v>1120</v>
      </c>
      <c r="D846" s="188"/>
      <c r="E846" s="176"/>
      <c r="F846" s="160"/>
      <c r="H846" s="54"/>
    </row>
    <row r="847" spans="1:8" s="104" customFormat="1" ht="24" customHeight="1">
      <c r="A847" s="268"/>
      <c r="B847" s="231"/>
      <c r="C847" s="231" t="s">
        <v>301</v>
      </c>
      <c r="D847" s="268"/>
      <c r="E847" s="319"/>
      <c r="F847" s="260"/>
      <c r="H847" s="54"/>
    </row>
    <row r="848" spans="1:8" s="104" customFormat="1" ht="24" customHeight="1">
      <c r="A848" s="189"/>
      <c r="B848" s="181"/>
      <c r="C848" s="181"/>
      <c r="D848" s="189"/>
      <c r="E848" s="183"/>
      <c r="F848" s="165"/>
      <c r="H848" s="54"/>
    </row>
    <row r="849" spans="1:14" ht="24" customHeight="1">
      <c r="A849" s="190">
        <v>8</v>
      </c>
      <c r="B849" s="168" t="s">
        <v>13</v>
      </c>
      <c r="C849" s="155" t="s">
        <v>14</v>
      </c>
      <c r="D849" s="155" t="s">
        <v>402</v>
      </c>
      <c r="E849" s="156">
        <v>500000</v>
      </c>
      <c r="F849" s="155" t="s">
        <v>397</v>
      </c>
    </row>
    <row r="850" spans="1:14" ht="24" customHeight="1">
      <c r="A850" s="158"/>
      <c r="B850" s="192" t="s">
        <v>406</v>
      </c>
      <c r="C850" s="160" t="s">
        <v>384</v>
      </c>
      <c r="D850" s="160" t="s">
        <v>37</v>
      </c>
      <c r="E850" s="161"/>
      <c r="F850" s="160"/>
    </row>
    <row r="851" spans="1:14" ht="24" customHeight="1">
      <c r="A851" s="158"/>
      <c r="B851" s="192"/>
      <c r="C851" s="160" t="s">
        <v>385</v>
      </c>
      <c r="D851" s="160"/>
      <c r="E851" s="161"/>
      <c r="F851" s="160"/>
    </row>
    <row r="852" spans="1:14" ht="24" customHeight="1">
      <c r="A852" s="163"/>
      <c r="B852" s="164"/>
      <c r="C852" s="165"/>
      <c r="D852" s="165"/>
      <c r="E852" s="213"/>
      <c r="F852" s="165"/>
    </row>
    <row r="853" spans="1:14" ht="24" customHeight="1">
      <c r="A853" s="190">
        <v>9</v>
      </c>
      <c r="B853" s="168" t="s">
        <v>1121</v>
      </c>
      <c r="C853" s="155" t="s">
        <v>1124</v>
      </c>
      <c r="D853" s="155" t="s">
        <v>1126</v>
      </c>
      <c r="E853" s="254">
        <v>2000000</v>
      </c>
      <c r="F853" s="155" t="s">
        <v>397</v>
      </c>
    </row>
    <row r="854" spans="1:14" ht="24" customHeight="1">
      <c r="A854" s="158"/>
      <c r="B854" s="192" t="s">
        <v>1122</v>
      </c>
      <c r="C854" s="160" t="s">
        <v>1125</v>
      </c>
      <c r="D854" s="160" t="s">
        <v>1127</v>
      </c>
      <c r="E854" s="202"/>
      <c r="F854" s="160"/>
    </row>
    <row r="855" spans="1:14" ht="24" customHeight="1">
      <c r="A855" s="158"/>
      <c r="B855" s="192" t="s">
        <v>1123</v>
      </c>
      <c r="C855" s="160"/>
      <c r="D855" s="160" t="s">
        <v>182</v>
      </c>
      <c r="E855" s="202"/>
      <c r="F855" s="162"/>
    </row>
    <row r="856" spans="1:14" ht="24" customHeight="1">
      <c r="A856" s="163"/>
      <c r="B856" s="164"/>
      <c r="C856" s="165"/>
      <c r="D856" s="165"/>
      <c r="E856" s="213"/>
      <c r="F856" s="167"/>
    </row>
    <row r="857" spans="1:14" ht="24" customHeight="1">
      <c r="A857" s="154"/>
      <c r="B857" s="208" t="s">
        <v>24</v>
      </c>
      <c r="C857" s="157"/>
      <c r="D857" s="157"/>
      <c r="E857" s="328">
        <f>SUM(E858,E1108,E1220)</f>
        <v>246845000</v>
      </c>
      <c r="F857" s="155"/>
      <c r="I857" s="73"/>
      <c r="J857" s="73"/>
    </row>
    <row r="858" spans="1:14" ht="24" customHeight="1">
      <c r="A858" s="158"/>
      <c r="B858" s="339" t="s">
        <v>1224</v>
      </c>
      <c r="C858" s="162"/>
      <c r="D858" s="212"/>
      <c r="E858" s="365">
        <f>SUM(E859:E867,E872:E898,E904:E929,E935:E960,E966:E991,E997:E1022,E1065:E1084,E1090:E1107)</f>
        <v>122480000</v>
      </c>
      <c r="F858" s="160"/>
      <c r="I858" s="73"/>
      <c r="J858" s="73"/>
    </row>
    <row r="859" spans="1:14" ht="24" customHeight="1">
      <c r="A859" s="226">
        <v>1</v>
      </c>
      <c r="B859" s="264" t="s">
        <v>16</v>
      </c>
      <c r="C859" s="160" t="s">
        <v>1140</v>
      </c>
      <c r="D859" s="193" t="s">
        <v>1142</v>
      </c>
      <c r="E859" s="161">
        <v>5650000</v>
      </c>
      <c r="F859" s="160" t="s">
        <v>398</v>
      </c>
      <c r="H859" s="104"/>
      <c r="I859" s="282"/>
      <c r="J859" s="282"/>
      <c r="K859" s="282"/>
      <c r="L859" s="282"/>
      <c r="M859" s="282"/>
      <c r="N859" s="282"/>
    </row>
    <row r="860" spans="1:14" ht="24" customHeight="1">
      <c r="A860" s="203"/>
      <c r="B860" s="264" t="s">
        <v>1138</v>
      </c>
      <c r="C860" s="193" t="s">
        <v>1437</v>
      </c>
      <c r="D860" s="160" t="s">
        <v>1143</v>
      </c>
      <c r="E860" s="161"/>
      <c r="F860" s="160" t="s">
        <v>618</v>
      </c>
      <c r="H860" s="104"/>
      <c r="I860" s="282"/>
      <c r="J860" s="282"/>
      <c r="K860" s="282"/>
      <c r="L860" s="282"/>
      <c r="M860" s="282"/>
      <c r="N860" s="282"/>
    </row>
    <row r="861" spans="1:14" ht="24" customHeight="1">
      <c r="A861" s="203"/>
      <c r="B861" s="264" t="s">
        <v>1139</v>
      </c>
      <c r="C861" s="160" t="s">
        <v>1454</v>
      </c>
      <c r="D861" s="160" t="s">
        <v>202</v>
      </c>
      <c r="E861" s="161"/>
      <c r="F861" s="160"/>
      <c r="H861" s="78"/>
      <c r="I861" s="73"/>
      <c r="J861" s="73"/>
      <c r="K861" s="73"/>
      <c r="L861" s="73"/>
      <c r="M861" s="73"/>
    </row>
    <row r="862" spans="1:14" ht="24" customHeight="1">
      <c r="A862" s="203"/>
      <c r="B862" s="326"/>
      <c r="C862" s="160" t="s">
        <v>1460</v>
      </c>
      <c r="D862" s="160"/>
      <c r="E862" s="161"/>
      <c r="F862" s="160"/>
      <c r="H862" s="78"/>
      <c r="I862" s="73"/>
      <c r="J862" s="73"/>
      <c r="K862" s="73"/>
      <c r="L862" s="73"/>
      <c r="M862" s="73"/>
    </row>
    <row r="863" spans="1:14" ht="24" customHeight="1">
      <c r="A863" s="203"/>
      <c r="B863" s="326"/>
      <c r="C863" s="160" t="s">
        <v>1438</v>
      </c>
      <c r="D863" s="160"/>
      <c r="E863" s="161"/>
      <c r="F863" s="160"/>
    </row>
    <row r="864" spans="1:14" ht="24" customHeight="1">
      <c r="A864" s="203"/>
      <c r="B864" s="326"/>
      <c r="C864" s="160" t="s">
        <v>1141</v>
      </c>
      <c r="D864" s="160"/>
      <c r="E864" s="161"/>
      <c r="F864" s="160"/>
    </row>
    <row r="865" spans="1:14" ht="24" customHeight="1">
      <c r="A865" s="203"/>
      <c r="B865" s="326"/>
      <c r="C865" s="160" t="s">
        <v>389</v>
      </c>
      <c r="D865" s="160"/>
      <c r="E865" s="161"/>
      <c r="F865" s="160"/>
    </row>
    <row r="866" spans="1:14" s="104" customFormat="1" ht="24" customHeight="1">
      <c r="A866" s="203"/>
      <c r="B866" s="326"/>
      <c r="C866" s="160"/>
      <c r="D866" s="160"/>
      <c r="E866" s="161"/>
      <c r="F866" s="160"/>
    </row>
    <row r="867" spans="1:14" ht="24" customHeight="1">
      <c r="A867" s="206"/>
      <c r="B867" s="329"/>
      <c r="C867" s="165"/>
      <c r="D867" s="165"/>
      <c r="E867" s="166"/>
      <c r="F867" s="165"/>
    </row>
    <row r="868" spans="1:14" s="104" customFormat="1" ht="24" customHeight="1">
      <c r="A868" s="62"/>
      <c r="B868" s="92"/>
      <c r="C868" s="56"/>
      <c r="D868" s="56"/>
      <c r="E868" s="134"/>
      <c r="F868" s="57"/>
    </row>
    <row r="869" spans="1:14" s="104" customFormat="1" ht="24" customHeight="1">
      <c r="A869" s="379" t="s">
        <v>1129</v>
      </c>
      <c r="B869" s="379"/>
      <c r="C869" s="379"/>
      <c r="D869" s="379"/>
      <c r="E869" s="379"/>
      <c r="F869" s="379"/>
    </row>
    <row r="870" spans="1:14" s="104" customFormat="1" ht="24" customHeight="1">
      <c r="A870" s="40" t="s">
        <v>41</v>
      </c>
      <c r="B870" s="40" t="s">
        <v>619</v>
      </c>
      <c r="C870" s="40" t="s">
        <v>620</v>
      </c>
      <c r="D870" s="40" t="s">
        <v>605</v>
      </c>
      <c r="E870" s="137" t="s">
        <v>31</v>
      </c>
      <c r="F870" s="40" t="s">
        <v>396</v>
      </c>
      <c r="I870" s="282"/>
      <c r="J870" s="282"/>
      <c r="K870" s="282"/>
      <c r="L870" s="282"/>
      <c r="M870" s="282"/>
      <c r="N870" s="282"/>
    </row>
    <row r="871" spans="1:14" s="104" customFormat="1" ht="24" customHeight="1">
      <c r="A871" s="41" t="s">
        <v>40</v>
      </c>
      <c r="B871" s="41"/>
      <c r="C871" s="41"/>
      <c r="D871" s="41" t="s">
        <v>606</v>
      </c>
      <c r="E871" s="129"/>
      <c r="F871" s="42"/>
      <c r="H871" s="85" t="s">
        <v>1144</v>
      </c>
      <c r="I871" s="282"/>
      <c r="J871" s="282"/>
      <c r="K871" s="282"/>
      <c r="L871" s="282"/>
      <c r="M871" s="282"/>
      <c r="N871" s="85"/>
    </row>
    <row r="872" spans="1:14" ht="24" customHeight="1">
      <c r="A872" s="190">
        <v>2</v>
      </c>
      <c r="B872" s="262" t="s">
        <v>16</v>
      </c>
      <c r="C872" s="252" t="s">
        <v>17</v>
      </c>
      <c r="D872" s="155" t="s">
        <v>1148</v>
      </c>
      <c r="E872" s="156">
        <v>660000</v>
      </c>
      <c r="F872" s="160" t="s">
        <v>398</v>
      </c>
      <c r="H872" s="78"/>
      <c r="I872" s="282"/>
      <c r="J872" s="282"/>
      <c r="K872" s="282"/>
      <c r="L872" s="282"/>
      <c r="M872" s="282"/>
      <c r="N872" s="282"/>
    </row>
    <row r="873" spans="1:14" ht="24" customHeight="1">
      <c r="A873" s="203"/>
      <c r="B873" s="264" t="s">
        <v>1145</v>
      </c>
      <c r="C873" s="193" t="s">
        <v>1383</v>
      </c>
      <c r="D873" s="160" t="s">
        <v>1146</v>
      </c>
      <c r="E873" s="161"/>
      <c r="F873" s="160" t="s">
        <v>618</v>
      </c>
      <c r="H873" s="74"/>
      <c r="I873" s="73"/>
      <c r="J873" s="73"/>
      <c r="K873" s="73"/>
      <c r="L873" s="86"/>
    </row>
    <row r="874" spans="1:14" ht="24" customHeight="1">
      <c r="A874" s="203"/>
      <c r="B874" s="264" t="s">
        <v>1146</v>
      </c>
      <c r="C874" s="193" t="s">
        <v>1439</v>
      </c>
      <c r="D874" s="160" t="s">
        <v>202</v>
      </c>
      <c r="E874" s="161"/>
      <c r="F874" s="160"/>
      <c r="H874" s="78"/>
      <c r="I874" s="73"/>
      <c r="J874" s="73"/>
      <c r="K874" s="73"/>
      <c r="L874" s="73"/>
    </row>
    <row r="875" spans="1:14" ht="24" customHeight="1">
      <c r="A875" s="203"/>
      <c r="B875" s="264"/>
      <c r="C875" s="160" t="s">
        <v>1461</v>
      </c>
      <c r="D875" s="160"/>
      <c r="E875" s="161"/>
      <c r="F875" s="160"/>
      <c r="H875" s="78"/>
      <c r="I875" s="73"/>
      <c r="J875" s="73"/>
      <c r="K875" s="73"/>
      <c r="L875" s="73"/>
    </row>
    <row r="876" spans="1:14" ht="24" customHeight="1">
      <c r="A876" s="203"/>
      <c r="B876" s="326"/>
      <c r="C876" s="160" t="s">
        <v>1440</v>
      </c>
      <c r="D876" s="160"/>
      <c r="E876" s="161"/>
      <c r="F876" s="160"/>
      <c r="H876" s="78"/>
      <c r="I876" s="73"/>
      <c r="J876" s="73"/>
      <c r="K876" s="73"/>
      <c r="L876" s="73"/>
    </row>
    <row r="877" spans="1:14" ht="24" customHeight="1">
      <c r="A877" s="203"/>
      <c r="B877" s="326"/>
      <c r="C877" s="160" t="s">
        <v>1147</v>
      </c>
      <c r="D877" s="160"/>
      <c r="E877" s="161"/>
      <c r="F877" s="160"/>
    </row>
    <row r="878" spans="1:14" ht="24" customHeight="1">
      <c r="A878" s="203"/>
      <c r="B878" s="326"/>
      <c r="C878" s="160" t="s">
        <v>1403</v>
      </c>
      <c r="D878" s="160"/>
      <c r="E878" s="161"/>
      <c r="F878" s="160"/>
    </row>
    <row r="879" spans="1:14" ht="24" customHeight="1">
      <c r="A879" s="206"/>
      <c r="B879" s="329"/>
      <c r="C879" s="165" t="s">
        <v>389</v>
      </c>
      <c r="D879" s="165"/>
      <c r="E879" s="166"/>
      <c r="F879" s="165"/>
      <c r="H879" s="74"/>
      <c r="I879" s="282"/>
      <c r="J879" s="282"/>
      <c r="K879" s="282"/>
      <c r="L879" s="74"/>
    </row>
    <row r="880" spans="1:14" ht="24" customHeight="1">
      <c r="A880" s="199">
        <v>3</v>
      </c>
      <c r="B880" s="330" t="s">
        <v>16</v>
      </c>
      <c r="C880" s="197" t="s">
        <v>17</v>
      </c>
      <c r="D880" s="197" t="s">
        <v>1150</v>
      </c>
      <c r="E880" s="201">
        <v>840000</v>
      </c>
      <c r="F880" s="197" t="s">
        <v>398</v>
      </c>
      <c r="H880" s="87"/>
      <c r="I880" s="73"/>
      <c r="J880" s="73"/>
      <c r="K880" s="73"/>
      <c r="L880" s="73"/>
    </row>
    <row r="881" spans="1:14" ht="24" customHeight="1">
      <c r="A881" s="203"/>
      <c r="B881" s="264" t="s">
        <v>1149</v>
      </c>
      <c r="C881" s="193" t="s">
        <v>1384</v>
      </c>
      <c r="D881" s="160" t="s">
        <v>1151</v>
      </c>
      <c r="E881" s="161"/>
      <c r="F881" s="160" t="s">
        <v>618</v>
      </c>
      <c r="H881" s="88"/>
      <c r="I881" s="73"/>
      <c r="J881" s="73"/>
      <c r="K881" s="73"/>
      <c r="L881" s="88"/>
    </row>
    <row r="882" spans="1:14" ht="24" customHeight="1">
      <c r="A882" s="203"/>
      <c r="B882" s="264" t="s">
        <v>1153</v>
      </c>
      <c r="C882" s="193" t="s">
        <v>1462</v>
      </c>
      <c r="D882" s="160" t="s">
        <v>1152</v>
      </c>
      <c r="E882" s="161"/>
      <c r="F882" s="160"/>
      <c r="H882" s="78"/>
      <c r="I882" s="73"/>
      <c r="J882" s="73"/>
      <c r="K882" s="73"/>
      <c r="L882" s="73"/>
    </row>
    <row r="883" spans="1:14" ht="24" customHeight="1">
      <c r="A883" s="203"/>
      <c r="B883" s="264"/>
      <c r="C883" s="193" t="s">
        <v>1356</v>
      </c>
      <c r="D883" s="160" t="s">
        <v>202</v>
      </c>
      <c r="E883" s="161"/>
      <c r="F883" s="160"/>
      <c r="H883" s="78"/>
      <c r="I883" s="73"/>
      <c r="J883" s="73"/>
      <c r="K883" s="73"/>
      <c r="L883" s="73"/>
    </row>
    <row r="884" spans="1:14" ht="24" customHeight="1">
      <c r="A884" s="203"/>
      <c r="B884" s="326"/>
      <c r="C884" s="160" t="s">
        <v>1441</v>
      </c>
      <c r="D884" s="160"/>
      <c r="E884" s="161"/>
      <c r="F884" s="160"/>
      <c r="H884" s="78"/>
      <c r="I884" s="73"/>
      <c r="J884" s="73"/>
      <c r="K884" s="73"/>
      <c r="L884" s="73"/>
    </row>
    <row r="885" spans="1:14" ht="24" customHeight="1">
      <c r="A885" s="203"/>
      <c r="B885" s="326"/>
      <c r="C885" s="160" t="s">
        <v>1147</v>
      </c>
      <c r="D885" s="160"/>
      <c r="E885" s="161"/>
      <c r="F885" s="160"/>
    </row>
    <row r="886" spans="1:14" ht="24" customHeight="1">
      <c r="A886" s="203"/>
      <c r="B886" s="326"/>
      <c r="C886" s="160" t="s">
        <v>1404</v>
      </c>
      <c r="D886" s="160"/>
      <c r="E886" s="161"/>
      <c r="F886" s="160"/>
      <c r="H886" s="74" t="s">
        <v>229</v>
      </c>
      <c r="I886" s="282"/>
      <c r="J886" s="282"/>
      <c r="K886" s="282"/>
      <c r="L886" s="282"/>
      <c r="M886" s="282"/>
      <c r="N886" s="74"/>
    </row>
    <row r="887" spans="1:14" ht="24" customHeight="1">
      <c r="A887" s="203"/>
      <c r="B887" s="326"/>
      <c r="C887" s="160" t="s">
        <v>389</v>
      </c>
      <c r="D887" s="160"/>
      <c r="E887" s="161"/>
      <c r="F887" s="160"/>
      <c r="H887" s="78"/>
      <c r="I887" s="282"/>
      <c r="J887" s="282"/>
      <c r="K887" s="282"/>
      <c r="L887" s="282"/>
      <c r="M887" s="282"/>
      <c r="N887" s="282"/>
    </row>
    <row r="888" spans="1:14" ht="24" customHeight="1">
      <c r="A888" s="206"/>
      <c r="B888" s="329"/>
      <c r="C888" s="165"/>
      <c r="D888" s="165"/>
      <c r="E888" s="166"/>
      <c r="F888" s="165"/>
      <c r="H888" s="78"/>
      <c r="I888" s="282"/>
      <c r="J888" s="282"/>
      <c r="K888" s="282"/>
      <c r="L888" s="282"/>
      <c r="M888" s="282"/>
      <c r="N888" s="282"/>
    </row>
    <row r="889" spans="1:14" s="104" customFormat="1" ht="24" customHeight="1">
      <c r="A889" s="199">
        <v>4</v>
      </c>
      <c r="B889" s="330" t="s">
        <v>16</v>
      </c>
      <c r="C889" s="272" t="s">
        <v>17</v>
      </c>
      <c r="D889" s="197" t="s">
        <v>1157</v>
      </c>
      <c r="E889" s="201">
        <v>6000000</v>
      </c>
      <c r="F889" s="197" t="s">
        <v>398</v>
      </c>
    </row>
    <row r="890" spans="1:14" ht="24" customHeight="1">
      <c r="A890" s="226"/>
      <c r="B890" s="264" t="s">
        <v>1154</v>
      </c>
      <c r="C890" s="193" t="s">
        <v>1405</v>
      </c>
      <c r="D890" s="160" t="s">
        <v>1385</v>
      </c>
      <c r="E890" s="161"/>
      <c r="F890" s="160" t="s">
        <v>618</v>
      </c>
      <c r="H890" s="90"/>
      <c r="I890" s="73"/>
      <c r="J890" s="73"/>
      <c r="K890" s="73"/>
    </row>
    <row r="891" spans="1:14" ht="24" customHeight="1">
      <c r="A891" s="158"/>
      <c r="B891" s="264" t="s">
        <v>1386</v>
      </c>
      <c r="C891" s="193" t="s">
        <v>1406</v>
      </c>
      <c r="D891" s="160" t="s">
        <v>202</v>
      </c>
      <c r="E891" s="202"/>
      <c r="F891" s="160"/>
      <c r="H891" s="88" t="s">
        <v>276</v>
      </c>
      <c r="I891" s="73"/>
      <c r="J891" s="73"/>
      <c r="K891" s="88"/>
    </row>
    <row r="892" spans="1:14" ht="24" customHeight="1">
      <c r="A892" s="158"/>
      <c r="B892" s="264"/>
      <c r="C892" s="160" t="s">
        <v>1407</v>
      </c>
      <c r="D892" s="160"/>
      <c r="E892" s="202"/>
      <c r="F892" s="160"/>
      <c r="H892" s="78"/>
      <c r="I892" s="73"/>
      <c r="J892" s="73"/>
      <c r="K892" s="73"/>
    </row>
    <row r="893" spans="1:14" ht="24" customHeight="1">
      <c r="A893" s="158"/>
      <c r="B893" s="264"/>
      <c r="C893" s="160" t="s">
        <v>1441</v>
      </c>
      <c r="D893" s="160"/>
      <c r="E893" s="202"/>
      <c r="F893" s="160"/>
      <c r="H893" s="78"/>
      <c r="I893" s="73"/>
      <c r="J893" s="73"/>
      <c r="K893" s="73"/>
    </row>
    <row r="894" spans="1:14" ht="24" customHeight="1">
      <c r="A894" s="158"/>
      <c r="B894" s="264"/>
      <c r="C894" s="160" t="s">
        <v>1155</v>
      </c>
      <c r="D894" s="160"/>
      <c r="E894" s="202"/>
      <c r="F894" s="160"/>
      <c r="H894" s="78"/>
      <c r="I894" s="73"/>
      <c r="J894" s="73"/>
      <c r="K894" s="73"/>
    </row>
    <row r="895" spans="1:14" ht="24" customHeight="1">
      <c r="A895" s="158"/>
      <c r="B895" s="264"/>
      <c r="C895" s="160" t="s">
        <v>1156</v>
      </c>
      <c r="D895" s="160"/>
      <c r="E895" s="202"/>
      <c r="F895" s="160"/>
    </row>
    <row r="896" spans="1:14" ht="24" customHeight="1">
      <c r="A896" s="248"/>
      <c r="B896" s="269"/>
      <c r="C896" s="260" t="s">
        <v>1479</v>
      </c>
      <c r="D896" s="260"/>
      <c r="E896" s="250"/>
      <c r="F896" s="260"/>
    </row>
    <row r="897" spans="1:15" s="52" customFormat="1" ht="24" customHeight="1">
      <c r="A897" s="203"/>
      <c r="B897" s="326"/>
      <c r="C897" s="160" t="s">
        <v>1442</v>
      </c>
      <c r="D897" s="160"/>
      <c r="E897" s="161"/>
      <c r="F897" s="162"/>
    </row>
    <row r="898" spans="1:15" s="57" customFormat="1" ht="24" customHeight="1">
      <c r="A898" s="206"/>
      <c r="B898" s="329"/>
      <c r="C898" s="165" t="s">
        <v>391</v>
      </c>
      <c r="D898" s="165"/>
      <c r="E898" s="166"/>
      <c r="F898" s="167"/>
    </row>
    <row r="899" spans="1:15" s="57" customFormat="1" ht="24" customHeight="1">
      <c r="A899" s="62"/>
      <c r="B899" s="92"/>
      <c r="C899" s="56"/>
      <c r="D899" s="56"/>
      <c r="E899" s="134"/>
    </row>
    <row r="900" spans="1:15" s="104" customFormat="1" ht="24" customHeight="1">
      <c r="A900" s="379" t="s">
        <v>1130</v>
      </c>
      <c r="B900" s="379"/>
      <c r="C900" s="379"/>
      <c r="D900" s="379"/>
      <c r="E900" s="379"/>
      <c r="F900" s="379"/>
      <c r="H900" s="327"/>
      <c r="I900" s="282"/>
      <c r="J900" s="282"/>
      <c r="K900" s="282"/>
      <c r="L900" s="282"/>
      <c r="M900" s="282"/>
      <c r="N900" s="282"/>
      <c r="O900" s="327"/>
    </row>
    <row r="901" spans="1:15" s="104" customFormat="1" ht="24" customHeight="1">
      <c r="A901" s="70"/>
      <c r="B901" s="70" t="s">
        <v>276</v>
      </c>
      <c r="C901" s="70"/>
      <c r="D901" s="70"/>
      <c r="E901" s="136"/>
      <c r="F901" s="72"/>
      <c r="H901" s="78"/>
      <c r="I901" s="282"/>
      <c r="J901" s="282"/>
      <c r="K901" s="282"/>
      <c r="L901" s="282"/>
      <c r="M901" s="282"/>
      <c r="N901" s="282"/>
      <c r="O901" s="282"/>
    </row>
    <row r="902" spans="1:15" s="104" customFormat="1" ht="24" customHeight="1">
      <c r="A902" s="40" t="s">
        <v>41</v>
      </c>
      <c r="B902" s="40" t="s">
        <v>619</v>
      </c>
      <c r="C902" s="40" t="s">
        <v>620</v>
      </c>
      <c r="D902" s="40" t="s">
        <v>605</v>
      </c>
      <c r="E902" s="137" t="s">
        <v>31</v>
      </c>
      <c r="F902" s="40" t="s">
        <v>396</v>
      </c>
    </row>
    <row r="903" spans="1:15" s="104" customFormat="1" ht="24" customHeight="1">
      <c r="A903" s="41" t="s">
        <v>40</v>
      </c>
      <c r="B903" s="41"/>
      <c r="C903" s="41"/>
      <c r="D903" s="41" t="s">
        <v>606</v>
      </c>
      <c r="E903" s="129"/>
      <c r="F903" s="42"/>
      <c r="H903" s="54"/>
    </row>
    <row r="904" spans="1:15" s="104" customFormat="1" ht="24" customHeight="1">
      <c r="A904" s="190">
        <v>5</v>
      </c>
      <c r="B904" s="262" t="s">
        <v>16</v>
      </c>
      <c r="C904" s="252" t="s">
        <v>17</v>
      </c>
      <c r="D904" s="155" t="s">
        <v>1159</v>
      </c>
      <c r="E904" s="156">
        <v>1600000</v>
      </c>
      <c r="F904" s="197" t="s">
        <v>398</v>
      </c>
    </row>
    <row r="905" spans="1:15" s="104" customFormat="1" ht="24" customHeight="1">
      <c r="A905" s="203"/>
      <c r="B905" s="264" t="s">
        <v>1158</v>
      </c>
      <c r="C905" s="193" t="s">
        <v>1357</v>
      </c>
      <c r="D905" s="160" t="s">
        <v>1443</v>
      </c>
      <c r="E905" s="161"/>
      <c r="F905" s="160" t="s">
        <v>618</v>
      </c>
      <c r="H905" s="74"/>
      <c r="I905" s="103"/>
      <c r="J905" s="103"/>
      <c r="K905" s="103"/>
      <c r="L905" s="86"/>
    </row>
    <row r="906" spans="1:15" s="104" customFormat="1" ht="24" customHeight="1">
      <c r="A906" s="203"/>
      <c r="B906" s="264" t="s">
        <v>1444</v>
      </c>
      <c r="C906" s="193" t="s">
        <v>1480</v>
      </c>
      <c r="D906" s="160" t="s">
        <v>202</v>
      </c>
      <c r="E906" s="161"/>
      <c r="F906" s="160"/>
      <c r="H906" s="78"/>
      <c r="I906" s="103"/>
      <c r="J906" s="103"/>
      <c r="K906" s="103"/>
      <c r="L906" s="103"/>
    </row>
    <row r="907" spans="1:15" s="104" customFormat="1" ht="24" customHeight="1">
      <c r="A907" s="203"/>
      <c r="B907" s="264"/>
      <c r="C907" s="160" t="s">
        <v>1455</v>
      </c>
      <c r="D907" s="160"/>
      <c r="E907" s="161"/>
      <c r="F907" s="160"/>
      <c r="H907" s="78"/>
      <c r="I907" s="103"/>
      <c r="J907" s="103"/>
      <c r="K907" s="103"/>
      <c r="L907" s="103"/>
    </row>
    <row r="908" spans="1:15" s="104" customFormat="1" ht="24" customHeight="1">
      <c r="A908" s="203"/>
      <c r="B908" s="326"/>
      <c r="C908" s="160" t="s">
        <v>1440</v>
      </c>
      <c r="D908" s="160"/>
      <c r="E908" s="161"/>
      <c r="F908" s="160"/>
      <c r="H908" s="327"/>
      <c r="I908" s="282"/>
      <c r="J908" s="282"/>
      <c r="K908" s="282"/>
      <c r="L908" s="282"/>
      <c r="M908" s="282"/>
      <c r="N908" s="282"/>
      <c r="O908" s="327"/>
    </row>
    <row r="909" spans="1:15" s="104" customFormat="1" ht="24" customHeight="1">
      <c r="A909" s="203"/>
      <c r="B909" s="326"/>
      <c r="C909" s="160" t="s">
        <v>1147</v>
      </c>
      <c r="D909" s="160"/>
      <c r="E909" s="161"/>
      <c r="F909" s="160"/>
      <c r="H909" s="78"/>
      <c r="I909" s="282"/>
      <c r="J909" s="282"/>
      <c r="K909" s="282"/>
      <c r="L909" s="282"/>
      <c r="M909" s="282"/>
      <c r="N909" s="282"/>
      <c r="O909" s="282"/>
    </row>
    <row r="910" spans="1:15" s="104" customFormat="1" ht="24" customHeight="1">
      <c r="A910" s="203"/>
      <c r="B910" s="326"/>
      <c r="C910" s="160" t="s">
        <v>1408</v>
      </c>
      <c r="D910" s="160"/>
      <c r="E910" s="161"/>
      <c r="F910" s="160"/>
      <c r="H910" s="78"/>
      <c r="I910" s="282"/>
      <c r="J910" s="282"/>
      <c r="K910" s="282"/>
      <c r="L910" s="282"/>
      <c r="M910" s="282"/>
      <c r="N910" s="282"/>
      <c r="O910" s="282"/>
    </row>
    <row r="911" spans="1:15" s="104" customFormat="1" ht="24" customHeight="1">
      <c r="A911" s="203"/>
      <c r="B911" s="326"/>
      <c r="C911" s="160" t="s">
        <v>389</v>
      </c>
      <c r="D911" s="160"/>
      <c r="E911" s="161"/>
      <c r="F911" s="160"/>
      <c r="H911" s="78"/>
      <c r="I911" s="282"/>
      <c r="J911" s="282"/>
      <c r="K911" s="282"/>
      <c r="L911" s="282"/>
      <c r="M911" s="282"/>
      <c r="N911" s="282"/>
      <c r="O911" s="282"/>
    </row>
    <row r="912" spans="1:15" s="104" customFormat="1" ht="24" customHeight="1">
      <c r="A912" s="206"/>
      <c r="B912" s="329"/>
      <c r="C912" s="165"/>
      <c r="D912" s="165"/>
      <c r="E912" s="166"/>
      <c r="F912" s="165"/>
    </row>
    <row r="913" spans="1:14" s="104" customFormat="1" ht="24" customHeight="1">
      <c r="A913" s="199">
        <v>6</v>
      </c>
      <c r="B913" s="330" t="s">
        <v>16</v>
      </c>
      <c r="C913" s="197" t="s">
        <v>17</v>
      </c>
      <c r="D913" s="197" t="s">
        <v>1163</v>
      </c>
      <c r="E913" s="201">
        <v>1440000</v>
      </c>
      <c r="F913" s="197" t="s">
        <v>398</v>
      </c>
      <c r="H913" s="87"/>
      <c r="I913" s="103"/>
      <c r="J913" s="103"/>
      <c r="K913" s="103"/>
      <c r="L913" s="103"/>
    </row>
    <row r="914" spans="1:14" s="104" customFormat="1" ht="24" customHeight="1">
      <c r="A914" s="203"/>
      <c r="B914" s="264" t="s">
        <v>1160</v>
      </c>
      <c r="C914" s="193" t="s">
        <v>1445</v>
      </c>
      <c r="D914" s="160" t="s">
        <v>1409</v>
      </c>
      <c r="E914" s="161"/>
      <c r="F914" s="160" t="s">
        <v>618</v>
      </c>
      <c r="H914" s="88"/>
      <c r="I914" s="103"/>
      <c r="J914" s="103"/>
      <c r="K914" s="103"/>
      <c r="L914" s="88"/>
    </row>
    <row r="915" spans="1:14" s="104" customFormat="1" ht="24" customHeight="1">
      <c r="A915" s="203"/>
      <c r="B915" s="264" t="s">
        <v>1410</v>
      </c>
      <c r="C915" s="193" t="s">
        <v>1411</v>
      </c>
      <c r="D915" s="160" t="s">
        <v>202</v>
      </c>
      <c r="E915" s="161"/>
      <c r="F915" s="160"/>
      <c r="H915" s="78"/>
      <c r="I915" s="103"/>
      <c r="J915" s="103"/>
      <c r="K915" s="103"/>
      <c r="L915" s="103"/>
    </row>
    <row r="916" spans="1:14" s="104" customFormat="1" ht="24" customHeight="1">
      <c r="A916" s="203"/>
      <c r="B916" s="264"/>
      <c r="C916" s="193" t="s">
        <v>1463</v>
      </c>
      <c r="D916" s="160"/>
      <c r="E916" s="161"/>
      <c r="F916" s="160"/>
      <c r="H916" s="78"/>
      <c r="I916" s="103"/>
      <c r="J916" s="103"/>
      <c r="K916" s="103"/>
      <c r="L916" s="103"/>
    </row>
    <row r="917" spans="1:14" s="104" customFormat="1" ht="24" customHeight="1">
      <c r="A917" s="203"/>
      <c r="B917" s="326"/>
      <c r="C917" s="160" t="s">
        <v>1441</v>
      </c>
      <c r="D917" s="160"/>
      <c r="E917" s="161"/>
      <c r="F917" s="160"/>
      <c r="H917" s="78"/>
      <c r="I917" s="103"/>
      <c r="J917" s="103"/>
      <c r="K917" s="103"/>
      <c r="L917" s="103"/>
    </row>
    <row r="918" spans="1:14" s="104" customFormat="1" ht="24" customHeight="1">
      <c r="A918" s="203"/>
      <c r="B918" s="326"/>
      <c r="C918" s="160" t="s">
        <v>1161</v>
      </c>
      <c r="D918" s="160"/>
      <c r="E918" s="161"/>
      <c r="F918" s="160"/>
    </row>
    <row r="919" spans="1:14" s="104" customFormat="1" ht="24" customHeight="1">
      <c r="A919" s="203"/>
      <c r="B919" s="326"/>
      <c r="C919" s="160" t="s">
        <v>1412</v>
      </c>
      <c r="D919" s="160"/>
      <c r="E919" s="161"/>
      <c r="F919" s="160"/>
    </row>
    <row r="920" spans="1:14" s="104" customFormat="1" ht="24" customHeight="1">
      <c r="A920" s="203"/>
      <c r="B920" s="326"/>
      <c r="C920" s="160" t="s">
        <v>1162</v>
      </c>
      <c r="D920" s="160"/>
      <c r="E920" s="161"/>
      <c r="F920" s="160"/>
      <c r="H920" s="327"/>
      <c r="I920" s="282"/>
      <c r="J920" s="282"/>
      <c r="K920" s="282"/>
      <c r="L920" s="282"/>
      <c r="M920" s="282"/>
      <c r="N920" s="327" t="s">
        <v>1358</v>
      </c>
    </row>
    <row r="921" spans="1:14" s="104" customFormat="1" ht="24" customHeight="1">
      <c r="A921" s="206"/>
      <c r="B921" s="329"/>
      <c r="C921" s="165"/>
      <c r="D921" s="165"/>
      <c r="E921" s="166"/>
      <c r="F921" s="165"/>
      <c r="H921" s="78"/>
      <c r="I921" s="282"/>
      <c r="J921" s="282"/>
      <c r="K921" s="282"/>
      <c r="L921" s="282"/>
      <c r="M921" s="282"/>
      <c r="N921" s="282"/>
    </row>
    <row r="922" spans="1:14" s="104" customFormat="1" ht="24" customHeight="1">
      <c r="A922" s="199">
        <v>7</v>
      </c>
      <c r="B922" s="332" t="s">
        <v>16</v>
      </c>
      <c r="C922" s="220" t="s">
        <v>17</v>
      </c>
      <c r="D922" s="196" t="s">
        <v>1359</v>
      </c>
      <c r="E922" s="201">
        <v>3310000</v>
      </c>
      <c r="F922" s="197" t="s">
        <v>398</v>
      </c>
    </row>
    <row r="923" spans="1:14" s="104" customFormat="1" ht="24" customHeight="1">
      <c r="A923" s="226"/>
      <c r="B923" s="333" t="s">
        <v>1164</v>
      </c>
      <c r="C923" s="217" t="s">
        <v>1405</v>
      </c>
      <c r="D923" s="175" t="s">
        <v>1165</v>
      </c>
      <c r="E923" s="161"/>
      <c r="F923" s="160" t="s">
        <v>618</v>
      </c>
      <c r="H923" s="90"/>
      <c r="I923" s="103"/>
      <c r="J923" s="103"/>
      <c r="K923" s="103"/>
    </row>
    <row r="924" spans="1:14" s="104" customFormat="1" ht="24" customHeight="1">
      <c r="A924" s="158"/>
      <c r="B924" s="333" t="s">
        <v>1360</v>
      </c>
      <c r="C924" s="217" t="s">
        <v>1446</v>
      </c>
      <c r="D924" s="160" t="s">
        <v>202</v>
      </c>
      <c r="E924" s="202"/>
      <c r="F924" s="175"/>
      <c r="H924" s="88" t="s">
        <v>276</v>
      </c>
      <c r="I924" s="103"/>
      <c r="J924" s="103"/>
      <c r="K924" s="88"/>
    </row>
    <row r="925" spans="1:14" s="104" customFormat="1" ht="24" customHeight="1">
      <c r="A925" s="158"/>
      <c r="B925" s="333" t="s">
        <v>34</v>
      </c>
      <c r="C925" s="175" t="s">
        <v>1361</v>
      </c>
      <c r="D925" s="175"/>
      <c r="E925" s="202"/>
      <c r="F925" s="175"/>
      <c r="H925" s="78"/>
      <c r="I925" s="103"/>
      <c r="J925" s="103"/>
      <c r="K925" s="103"/>
    </row>
    <row r="926" spans="1:14" s="104" customFormat="1" ht="24" customHeight="1">
      <c r="A926" s="158"/>
      <c r="B926" s="333"/>
      <c r="C926" s="175" t="s">
        <v>1441</v>
      </c>
      <c r="D926" s="175"/>
      <c r="E926" s="202"/>
      <c r="F926" s="175"/>
      <c r="H926" s="78"/>
      <c r="I926" s="103"/>
      <c r="J926" s="103"/>
      <c r="K926" s="103"/>
    </row>
    <row r="927" spans="1:14" s="104" customFormat="1" ht="24" customHeight="1">
      <c r="A927" s="158"/>
      <c r="B927" s="333"/>
      <c r="C927" s="175" t="s">
        <v>1166</v>
      </c>
      <c r="D927" s="175"/>
      <c r="E927" s="202"/>
      <c r="F927" s="175"/>
      <c r="H927" s="78"/>
      <c r="I927" s="103"/>
      <c r="J927" s="103"/>
      <c r="K927" s="103"/>
    </row>
    <row r="928" spans="1:14" s="104" customFormat="1" ht="24" customHeight="1">
      <c r="A928" s="158"/>
      <c r="B928" s="333"/>
      <c r="C928" s="175" t="s">
        <v>1413</v>
      </c>
      <c r="D928" s="175"/>
      <c r="E928" s="202"/>
      <c r="F928" s="175"/>
    </row>
    <row r="929" spans="1:14" s="104" customFormat="1" ht="24" customHeight="1">
      <c r="A929" s="163"/>
      <c r="B929" s="334"/>
      <c r="C929" s="181" t="s">
        <v>1167</v>
      </c>
      <c r="D929" s="181"/>
      <c r="E929" s="213"/>
      <c r="F929" s="181"/>
    </row>
    <row r="930" spans="1:14" s="52" customFormat="1" ht="24" customHeight="1">
      <c r="A930" s="80"/>
      <c r="B930" s="89"/>
      <c r="C930" s="51"/>
      <c r="D930" s="51"/>
      <c r="E930" s="131"/>
    </row>
    <row r="931" spans="1:14" s="104" customFormat="1" ht="24" customHeight="1">
      <c r="A931" s="379" t="s">
        <v>1131</v>
      </c>
      <c r="B931" s="379"/>
      <c r="C931" s="379"/>
      <c r="D931" s="379"/>
      <c r="E931" s="379"/>
      <c r="F931" s="379"/>
    </row>
    <row r="932" spans="1:14" s="104" customFormat="1" ht="24" customHeight="1">
      <c r="A932" s="70"/>
      <c r="B932" s="70" t="s">
        <v>276</v>
      </c>
      <c r="C932" s="70"/>
      <c r="D932" s="70"/>
      <c r="E932" s="136"/>
      <c r="F932" s="72"/>
    </row>
    <row r="933" spans="1:14" s="104" customFormat="1" ht="24" customHeight="1">
      <c r="A933" s="40" t="s">
        <v>41</v>
      </c>
      <c r="B933" s="40" t="s">
        <v>619</v>
      </c>
      <c r="C933" s="40" t="s">
        <v>620</v>
      </c>
      <c r="D933" s="40" t="s">
        <v>605</v>
      </c>
      <c r="E933" s="137" t="s">
        <v>31</v>
      </c>
      <c r="F933" s="40" t="s">
        <v>396</v>
      </c>
      <c r="H933" s="327"/>
      <c r="I933" s="282"/>
      <c r="J933" s="282"/>
      <c r="K933" s="282"/>
      <c r="L933" s="282"/>
    </row>
    <row r="934" spans="1:14" s="104" customFormat="1" ht="24" customHeight="1">
      <c r="A934" s="41" t="s">
        <v>40</v>
      </c>
      <c r="B934" s="41"/>
      <c r="C934" s="41"/>
      <c r="D934" s="41" t="s">
        <v>606</v>
      </c>
      <c r="E934" s="129"/>
      <c r="F934" s="42"/>
      <c r="H934" s="327"/>
      <c r="I934" s="282"/>
      <c r="J934" s="282"/>
      <c r="K934" s="282"/>
      <c r="L934" s="327" t="s">
        <v>1481</v>
      </c>
    </row>
    <row r="935" spans="1:14" s="104" customFormat="1" ht="24" customHeight="1">
      <c r="A935" s="190">
        <v>8</v>
      </c>
      <c r="B935" s="262" t="s">
        <v>16</v>
      </c>
      <c r="C935" s="252" t="s">
        <v>17</v>
      </c>
      <c r="D935" s="155" t="s">
        <v>1362</v>
      </c>
      <c r="E935" s="156">
        <v>930000</v>
      </c>
      <c r="F935" s="197" t="s">
        <v>398</v>
      </c>
      <c r="H935" s="78"/>
      <c r="I935" s="282"/>
      <c r="J935" s="282"/>
      <c r="K935" s="282"/>
      <c r="L935" s="282"/>
    </row>
    <row r="936" spans="1:14" s="104" customFormat="1" ht="24" customHeight="1">
      <c r="A936" s="203"/>
      <c r="B936" s="264" t="s">
        <v>1164</v>
      </c>
      <c r="C936" s="193" t="s">
        <v>1387</v>
      </c>
      <c r="D936" s="160" t="s">
        <v>1324</v>
      </c>
      <c r="E936" s="161"/>
      <c r="F936" s="160" t="s">
        <v>618</v>
      </c>
      <c r="H936" s="78"/>
      <c r="I936" s="282"/>
      <c r="J936" s="282"/>
      <c r="K936" s="282"/>
      <c r="L936" s="282"/>
    </row>
    <row r="937" spans="1:14" s="104" customFormat="1" ht="24" customHeight="1">
      <c r="A937" s="203"/>
      <c r="B937" s="264" t="s">
        <v>1363</v>
      </c>
      <c r="C937" s="193" t="s">
        <v>1464</v>
      </c>
      <c r="D937" s="160" t="s">
        <v>202</v>
      </c>
      <c r="E937" s="161"/>
      <c r="F937" s="160"/>
      <c r="H937" s="78"/>
      <c r="I937" s="103"/>
      <c r="J937" s="103"/>
      <c r="K937" s="103"/>
      <c r="L937" s="103"/>
    </row>
    <row r="938" spans="1:14" s="104" customFormat="1" ht="24" customHeight="1">
      <c r="A938" s="203"/>
      <c r="B938" s="264" t="s">
        <v>34</v>
      </c>
      <c r="C938" s="160" t="s">
        <v>1364</v>
      </c>
      <c r="D938" s="160"/>
      <c r="E938" s="161"/>
      <c r="F938" s="160"/>
      <c r="H938" s="78"/>
      <c r="I938" s="103"/>
      <c r="J938" s="103"/>
      <c r="K938" s="103"/>
      <c r="L938" s="103"/>
    </row>
    <row r="939" spans="1:14" s="104" customFormat="1" ht="24" customHeight="1">
      <c r="A939" s="203"/>
      <c r="B939" s="326"/>
      <c r="C939" s="160" t="s">
        <v>1441</v>
      </c>
      <c r="D939" s="160"/>
      <c r="E939" s="161"/>
      <c r="F939" s="160"/>
      <c r="H939" s="78"/>
      <c r="I939" s="103"/>
      <c r="J939" s="103"/>
      <c r="K939" s="103"/>
      <c r="L939" s="103"/>
    </row>
    <row r="940" spans="1:14" s="104" customFormat="1" ht="24" customHeight="1">
      <c r="A940" s="203"/>
      <c r="B940" s="326"/>
      <c r="C940" s="160" t="s">
        <v>1168</v>
      </c>
      <c r="D940" s="160"/>
      <c r="E940" s="161"/>
      <c r="F940" s="160"/>
    </row>
    <row r="941" spans="1:14" s="104" customFormat="1" ht="24" customHeight="1">
      <c r="A941" s="203"/>
      <c r="B941" s="326"/>
      <c r="C941" s="160" t="s">
        <v>1414</v>
      </c>
      <c r="D941" s="160"/>
      <c r="E941" s="161"/>
      <c r="F941" s="160"/>
    </row>
    <row r="942" spans="1:14" s="104" customFormat="1" ht="24" customHeight="1">
      <c r="A942" s="203"/>
      <c r="B942" s="326"/>
      <c r="C942" s="160" t="s">
        <v>350</v>
      </c>
      <c r="D942" s="160"/>
      <c r="E942" s="161"/>
      <c r="F942" s="160"/>
    </row>
    <row r="943" spans="1:14" s="104" customFormat="1" ht="24" customHeight="1">
      <c r="A943" s="206"/>
      <c r="B943" s="329"/>
      <c r="C943" s="165"/>
      <c r="D943" s="165"/>
      <c r="E943" s="166"/>
      <c r="F943" s="165"/>
      <c r="H943" s="327"/>
      <c r="I943" s="282"/>
      <c r="J943" s="282"/>
      <c r="K943" s="282"/>
      <c r="L943" s="282"/>
      <c r="M943" s="282"/>
      <c r="N943" s="327"/>
    </row>
    <row r="944" spans="1:14" s="104" customFormat="1" ht="24" customHeight="1">
      <c r="A944" s="199">
        <v>9</v>
      </c>
      <c r="B944" s="330" t="s">
        <v>1169</v>
      </c>
      <c r="C944" s="197" t="s">
        <v>17</v>
      </c>
      <c r="D944" s="197" t="s">
        <v>1362</v>
      </c>
      <c r="E944" s="201">
        <v>1200000</v>
      </c>
      <c r="F944" s="197" t="s">
        <v>398</v>
      </c>
      <c r="H944" s="78"/>
      <c r="I944" s="282"/>
      <c r="J944" s="282"/>
      <c r="K944" s="282"/>
      <c r="L944" s="282"/>
      <c r="M944" s="282"/>
      <c r="N944" s="282"/>
    </row>
    <row r="945" spans="1:14" s="104" customFormat="1" ht="24" customHeight="1">
      <c r="A945" s="203"/>
      <c r="B945" s="264" t="s">
        <v>1164</v>
      </c>
      <c r="C945" s="193" t="s">
        <v>1387</v>
      </c>
      <c r="D945" s="160" t="s">
        <v>1339</v>
      </c>
      <c r="E945" s="161"/>
      <c r="F945" s="160" t="s">
        <v>618</v>
      </c>
      <c r="H945" s="78"/>
      <c r="I945" s="282"/>
      <c r="J945" s="282"/>
      <c r="K945" s="282"/>
      <c r="L945" s="282"/>
      <c r="M945" s="282"/>
      <c r="N945" s="282"/>
    </row>
    <row r="946" spans="1:14" s="104" customFormat="1" ht="24" customHeight="1">
      <c r="A946" s="203"/>
      <c r="B946" s="264" t="s">
        <v>1365</v>
      </c>
      <c r="C946" s="193" t="s">
        <v>1415</v>
      </c>
      <c r="D946" s="160" t="s">
        <v>202</v>
      </c>
      <c r="E946" s="161"/>
      <c r="F946" s="160"/>
      <c r="H946" s="78"/>
      <c r="I946" s="103"/>
      <c r="J946" s="103"/>
      <c r="K946" s="103"/>
      <c r="L946" s="103"/>
    </row>
    <row r="947" spans="1:14" s="104" customFormat="1" ht="24" customHeight="1">
      <c r="A947" s="203"/>
      <c r="B947" s="264" t="s">
        <v>34</v>
      </c>
      <c r="C947" s="193" t="s">
        <v>1388</v>
      </c>
      <c r="D947" s="160"/>
      <c r="E947" s="161"/>
      <c r="F947" s="160"/>
      <c r="H947" s="78"/>
      <c r="I947" s="103"/>
      <c r="J947" s="103"/>
      <c r="K947" s="103"/>
      <c r="L947" s="103"/>
    </row>
    <row r="948" spans="1:14" s="104" customFormat="1" ht="24" customHeight="1">
      <c r="A948" s="203"/>
      <c r="B948" s="326"/>
      <c r="C948" s="160" t="s">
        <v>1441</v>
      </c>
      <c r="D948" s="160"/>
      <c r="E948" s="161"/>
      <c r="F948" s="160"/>
      <c r="H948" s="78"/>
      <c r="I948" s="103"/>
      <c r="J948" s="103"/>
      <c r="K948" s="103"/>
      <c r="L948" s="103"/>
    </row>
    <row r="949" spans="1:14" s="104" customFormat="1" ht="24" customHeight="1">
      <c r="A949" s="203"/>
      <c r="B949" s="326"/>
      <c r="C949" s="160" t="s">
        <v>1168</v>
      </c>
      <c r="D949" s="160"/>
      <c r="E949" s="161"/>
      <c r="F949" s="160"/>
      <c r="H949" s="327"/>
      <c r="I949" s="282"/>
      <c r="J949" s="282"/>
      <c r="K949" s="282"/>
      <c r="L949" s="282"/>
      <c r="M949" s="282"/>
    </row>
    <row r="950" spans="1:14" s="104" customFormat="1" ht="24" customHeight="1">
      <c r="A950" s="203"/>
      <c r="B950" s="326"/>
      <c r="C950" s="160" t="s">
        <v>1413</v>
      </c>
      <c r="D950" s="160"/>
      <c r="E950" s="161"/>
      <c r="F950" s="160"/>
      <c r="H950" s="327"/>
      <c r="I950" s="282"/>
      <c r="J950" s="282"/>
      <c r="K950" s="282"/>
      <c r="L950" s="282"/>
      <c r="M950" s="327"/>
    </row>
    <row r="951" spans="1:14" s="104" customFormat="1" ht="24" customHeight="1">
      <c r="A951" s="203"/>
      <c r="B951" s="326"/>
      <c r="C951" s="160" t="s">
        <v>1167</v>
      </c>
      <c r="D951" s="160"/>
      <c r="E951" s="161"/>
      <c r="F951" s="160"/>
      <c r="H951" s="78"/>
      <c r="I951" s="282"/>
      <c r="J951" s="282"/>
      <c r="K951" s="282"/>
      <c r="L951" s="282"/>
      <c r="M951" s="282"/>
    </row>
    <row r="952" spans="1:14" s="104" customFormat="1" ht="24" customHeight="1">
      <c r="A952" s="206"/>
      <c r="B952" s="329"/>
      <c r="C952" s="165"/>
      <c r="D952" s="165"/>
      <c r="E952" s="166"/>
      <c r="F952" s="165"/>
      <c r="H952" s="78"/>
      <c r="I952" s="282"/>
      <c r="J952" s="282"/>
      <c r="K952" s="282"/>
      <c r="L952" s="282"/>
      <c r="M952" s="282"/>
    </row>
    <row r="953" spans="1:14" s="104" customFormat="1" ht="24" customHeight="1">
      <c r="A953" s="199">
        <v>10</v>
      </c>
      <c r="B953" s="332" t="s">
        <v>16</v>
      </c>
      <c r="C953" s="220" t="s">
        <v>17</v>
      </c>
      <c r="D953" s="196" t="s">
        <v>1362</v>
      </c>
      <c r="E953" s="201">
        <v>760000</v>
      </c>
      <c r="F953" s="197" t="s">
        <v>398</v>
      </c>
    </row>
    <row r="954" spans="1:14" s="104" customFormat="1" ht="24" customHeight="1">
      <c r="A954" s="226"/>
      <c r="B954" s="333" t="s">
        <v>1164</v>
      </c>
      <c r="C954" s="217" t="s">
        <v>1384</v>
      </c>
      <c r="D954" s="175" t="s">
        <v>582</v>
      </c>
      <c r="E954" s="161"/>
      <c r="F954" s="160" t="s">
        <v>618</v>
      </c>
      <c r="H954" s="90"/>
      <c r="I954" s="103"/>
      <c r="J954" s="103"/>
      <c r="K954" s="103"/>
    </row>
    <row r="955" spans="1:14" s="104" customFormat="1" ht="24" customHeight="1">
      <c r="A955" s="158"/>
      <c r="B955" s="333" t="s">
        <v>1366</v>
      </c>
      <c r="C955" s="217" t="s">
        <v>1447</v>
      </c>
      <c r="D955" s="160" t="s">
        <v>202</v>
      </c>
      <c r="E955" s="202"/>
      <c r="F955" s="160"/>
      <c r="H955" s="88" t="s">
        <v>276</v>
      </c>
      <c r="I955" s="103"/>
      <c r="J955" s="103"/>
      <c r="K955" s="88"/>
    </row>
    <row r="956" spans="1:14" s="104" customFormat="1" ht="24" customHeight="1">
      <c r="A956" s="158"/>
      <c r="B956" s="333" t="s">
        <v>34</v>
      </c>
      <c r="C956" s="175" t="s">
        <v>1448</v>
      </c>
      <c r="D956" s="175"/>
      <c r="E956" s="202"/>
      <c r="F956" s="160"/>
      <c r="H956" s="78"/>
      <c r="I956" s="103"/>
      <c r="J956" s="103"/>
      <c r="K956" s="103"/>
    </row>
    <row r="957" spans="1:14" s="104" customFormat="1" ht="24" customHeight="1">
      <c r="A957" s="158"/>
      <c r="B957" s="333"/>
      <c r="C957" s="175" t="s">
        <v>1440</v>
      </c>
      <c r="D957" s="175"/>
      <c r="E957" s="202"/>
      <c r="F957" s="160"/>
      <c r="H957" s="78"/>
      <c r="I957" s="103"/>
      <c r="J957" s="103"/>
      <c r="K957" s="103"/>
    </row>
    <row r="958" spans="1:14" s="104" customFormat="1" ht="24" customHeight="1">
      <c r="A958" s="158"/>
      <c r="B958" s="333"/>
      <c r="C958" s="175" t="s">
        <v>1147</v>
      </c>
      <c r="D958" s="175"/>
      <c r="E958" s="202"/>
      <c r="F958" s="160"/>
      <c r="H958" s="78"/>
      <c r="I958" s="103"/>
      <c r="J958" s="103"/>
      <c r="K958" s="103"/>
    </row>
    <row r="959" spans="1:14" s="104" customFormat="1" ht="24" customHeight="1">
      <c r="A959" s="158"/>
      <c r="B959" s="333"/>
      <c r="C959" s="175" t="s">
        <v>1404</v>
      </c>
      <c r="D959" s="175"/>
      <c r="E959" s="202"/>
      <c r="F959" s="160"/>
    </row>
    <row r="960" spans="1:14" s="104" customFormat="1" ht="24" customHeight="1">
      <c r="A960" s="163"/>
      <c r="B960" s="334"/>
      <c r="C960" s="181" t="s">
        <v>1162</v>
      </c>
      <c r="D960" s="181"/>
      <c r="E960" s="213"/>
      <c r="F960" s="165"/>
    </row>
    <row r="961" spans="1:14" s="52" customFormat="1" ht="24" customHeight="1">
      <c r="A961" s="80"/>
      <c r="B961" s="89"/>
      <c r="C961" s="51"/>
      <c r="D961" s="51"/>
      <c r="E961" s="131"/>
    </row>
    <row r="962" spans="1:14" s="104" customFormat="1" ht="24" customHeight="1">
      <c r="A962" s="379" t="s">
        <v>1132</v>
      </c>
      <c r="B962" s="379"/>
      <c r="C962" s="379"/>
      <c r="D962" s="379"/>
      <c r="E962" s="379"/>
      <c r="F962" s="379"/>
    </row>
    <row r="963" spans="1:14" s="104" customFormat="1" ht="24" customHeight="1">
      <c r="A963" s="70"/>
      <c r="B963" s="70" t="s">
        <v>276</v>
      </c>
      <c r="C963" s="70"/>
      <c r="D963" s="70"/>
      <c r="E963" s="136"/>
      <c r="F963" s="72"/>
    </row>
    <row r="964" spans="1:14" s="104" customFormat="1" ht="24" customHeight="1">
      <c r="A964" s="40" t="s">
        <v>41</v>
      </c>
      <c r="B964" s="40" t="s">
        <v>619</v>
      </c>
      <c r="C964" s="40" t="s">
        <v>620</v>
      </c>
      <c r="D964" s="40" t="s">
        <v>605</v>
      </c>
      <c r="E964" s="137" t="s">
        <v>31</v>
      </c>
      <c r="F964" s="40" t="s">
        <v>396</v>
      </c>
    </row>
    <row r="965" spans="1:14" s="104" customFormat="1" ht="24" customHeight="1">
      <c r="A965" s="41" t="s">
        <v>40</v>
      </c>
      <c r="B965" s="41"/>
      <c r="C965" s="41"/>
      <c r="D965" s="41" t="s">
        <v>606</v>
      </c>
      <c r="E965" s="129"/>
      <c r="F965" s="42"/>
      <c r="H965" s="327"/>
      <c r="I965" s="282"/>
      <c r="J965" s="282"/>
      <c r="K965" s="282"/>
    </row>
    <row r="966" spans="1:14" s="104" customFormat="1" ht="24" customHeight="1">
      <c r="A966" s="190">
        <v>11</v>
      </c>
      <c r="B966" s="262" t="s">
        <v>1169</v>
      </c>
      <c r="C966" s="252" t="s">
        <v>1140</v>
      </c>
      <c r="D966" s="155" t="s">
        <v>1173</v>
      </c>
      <c r="E966" s="156">
        <v>980000</v>
      </c>
      <c r="F966" s="197" t="s">
        <v>398</v>
      </c>
      <c r="H966" s="327"/>
      <c r="I966" s="282"/>
      <c r="J966" s="282"/>
      <c r="K966" s="327"/>
    </row>
    <row r="967" spans="1:14" s="104" customFormat="1" ht="24" customHeight="1">
      <c r="A967" s="203"/>
      <c r="B967" s="264" t="s">
        <v>1170</v>
      </c>
      <c r="C967" s="193" t="s">
        <v>1367</v>
      </c>
      <c r="D967" s="160" t="s">
        <v>392</v>
      </c>
      <c r="E967" s="161"/>
      <c r="F967" s="160" t="s">
        <v>618</v>
      </c>
      <c r="H967" s="78"/>
      <c r="I967" s="282"/>
      <c r="J967" s="282"/>
      <c r="K967" s="282"/>
      <c r="L967" s="86"/>
    </row>
    <row r="968" spans="1:14" s="104" customFormat="1" ht="24" customHeight="1">
      <c r="A968" s="203"/>
      <c r="B968" s="264" t="s">
        <v>1171</v>
      </c>
      <c r="C968" s="193" t="s">
        <v>1416</v>
      </c>
      <c r="D968" s="160" t="s">
        <v>1174</v>
      </c>
      <c r="E968" s="161"/>
      <c r="F968" s="160"/>
      <c r="H968" s="78"/>
      <c r="I968" s="282"/>
      <c r="J968" s="282"/>
      <c r="K968" s="282"/>
      <c r="L968" s="103"/>
    </row>
    <row r="969" spans="1:14" s="104" customFormat="1" ht="24" customHeight="1">
      <c r="A969" s="203"/>
      <c r="B969" s="264" t="s">
        <v>1172</v>
      </c>
      <c r="C969" s="160" t="s">
        <v>1482</v>
      </c>
      <c r="D969" s="160" t="s">
        <v>183</v>
      </c>
      <c r="E969" s="161"/>
      <c r="F969" s="160"/>
      <c r="H969" s="78"/>
      <c r="I969" s="282"/>
      <c r="J969" s="282"/>
      <c r="K969" s="282"/>
      <c r="L969" s="103"/>
    </row>
    <row r="970" spans="1:14" s="104" customFormat="1" ht="24" customHeight="1">
      <c r="A970" s="203"/>
      <c r="B970" s="326"/>
      <c r="C970" s="160" t="s">
        <v>1440</v>
      </c>
      <c r="D970" s="160"/>
      <c r="E970" s="161"/>
      <c r="F970" s="160"/>
      <c r="H970" s="78"/>
      <c r="I970" s="103"/>
      <c r="J970" s="103"/>
      <c r="K970" s="103"/>
      <c r="L970" s="103"/>
    </row>
    <row r="971" spans="1:14" s="104" customFormat="1" ht="24" customHeight="1">
      <c r="A971" s="203"/>
      <c r="B971" s="326"/>
      <c r="C971" s="160" t="s">
        <v>1175</v>
      </c>
      <c r="D971" s="160"/>
      <c r="E971" s="161"/>
      <c r="F971" s="160"/>
    </row>
    <row r="972" spans="1:14" s="104" customFormat="1" ht="24" customHeight="1">
      <c r="A972" s="203"/>
      <c r="B972" s="326"/>
      <c r="C972" s="160" t="s">
        <v>1340</v>
      </c>
      <c r="D972" s="160"/>
      <c r="E972" s="161"/>
      <c r="F972" s="160"/>
    </row>
    <row r="973" spans="1:14" s="104" customFormat="1" ht="24" customHeight="1">
      <c r="A973" s="203"/>
      <c r="B973" s="326"/>
      <c r="C973" s="160" t="s">
        <v>391</v>
      </c>
      <c r="D973" s="160"/>
      <c r="E973" s="161"/>
      <c r="F973" s="160"/>
      <c r="H973" s="336"/>
      <c r="I973" s="282"/>
      <c r="J973" s="282"/>
      <c r="K973" s="282"/>
      <c r="L973" s="282"/>
      <c r="M973" s="282"/>
      <c r="N973" s="282"/>
    </row>
    <row r="974" spans="1:14" s="104" customFormat="1" ht="24" customHeight="1">
      <c r="A974" s="206"/>
      <c r="B974" s="329"/>
      <c r="C974" s="165"/>
      <c r="D974" s="165"/>
      <c r="E974" s="166"/>
      <c r="F974" s="165"/>
      <c r="H974" s="336" t="s">
        <v>1144</v>
      </c>
      <c r="I974" s="282"/>
      <c r="J974" s="282"/>
      <c r="K974" s="282"/>
      <c r="L974" s="282"/>
      <c r="M974" s="282"/>
      <c r="N974" s="336" t="s">
        <v>1483</v>
      </c>
    </row>
    <row r="975" spans="1:14" s="104" customFormat="1" ht="24" customHeight="1">
      <c r="A975" s="199">
        <v>12</v>
      </c>
      <c r="B975" s="330" t="s">
        <v>16</v>
      </c>
      <c r="C975" s="197" t="s">
        <v>17</v>
      </c>
      <c r="D975" s="197" t="s">
        <v>1177</v>
      </c>
      <c r="E975" s="201">
        <v>490000</v>
      </c>
      <c r="F975" s="197" t="s">
        <v>398</v>
      </c>
      <c r="H975" s="78"/>
      <c r="I975" s="282"/>
      <c r="J975" s="282"/>
      <c r="K975" s="282"/>
      <c r="L975" s="282"/>
      <c r="M975" s="282"/>
      <c r="N975" s="282"/>
    </row>
    <row r="976" spans="1:14" s="104" customFormat="1" ht="24" customHeight="1">
      <c r="A976" s="203"/>
      <c r="B976" s="264" t="s">
        <v>1176</v>
      </c>
      <c r="C976" s="193" t="s">
        <v>1417</v>
      </c>
      <c r="D976" s="160" t="s">
        <v>1368</v>
      </c>
      <c r="E976" s="161"/>
      <c r="F976" s="160" t="s">
        <v>618</v>
      </c>
      <c r="H976" s="88"/>
      <c r="I976" s="103"/>
      <c r="J976" s="103"/>
      <c r="K976" s="103"/>
      <c r="L976" s="88"/>
    </row>
    <row r="977" spans="1:12" s="104" customFormat="1" ht="24" customHeight="1">
      <c r="A977" s="203"/>
      <c r="B977" s="264" t="s">
        <v>1369</v>
      </c>
      <c r="C977" s="193" t="s">
        <v>1465</v>
      </c>
      <c r="D977" s="160" t="s">
        <v>1178</v>
      </c>
      <c r="E977" s="161"/>
      <c r="F977" s="160"/>
      <c r="H977" s="78"/>
      <c r="I977" s="103"/>
      <c r="J977" s="103"/>
      <c r="K977" s="103"/>
      <c r="L977" s="103"/>
    </row>
    <row r="978" spans="1:12" s="104" customFormat="1" ht="24" customHeight="1">
      <c r="A978" s="203"/>
      <c r="B978" s="264"/>
      <c r="C978" s="193" t="s">
        <v>1466</v>
      </c>
      <c r="D978" s="160" t="s">
        <v>182</v>
      </c>
      <c r="E978" s="161"/>
      <c r="F978" s="160"/>
      <c r="H978" s="78"/>
      <c r="I978" s="103"/>
      <c r="J978" s="103"/>
      <c r="K978" s="103"/>
      <c r="L978" s="103"/>
    </row>
    <row r="979" spans="1:12" s="104" customFormat="1" ht="24" customHeight="1">
      <c r="A979" s="203"/>
      <c r="B979" s="326"/>
      <c r="C979" s="160" t="s">
        <v>1441</v>
      </c>
      <c r="D979" s="160"/>
      <c r="E979" s="161"/>
      <c r="F979" s="160"/>
      <c r="H979" s="78"/>
      <c r="I979" s="103"/>
      <c r="J979" s="103"/>
      <c r="K979" s="103"/>
      <c r="L979" s="103"/>
    </row>
    <row r="980" spans="1:12" s="104" customFormat="1" ht="24" customHeight="1">
      <c r="A980" s="203"/>
      <c r="B980" s="326"/>
      <c r="C980" s="160" t="s">
        <v>1179</v>
      </c>
      <c r="D980" s="160"/>
      <c r="E980" s="161"/>
      <c r="F980" s="160"/>
      <c r="H980" s="336"/>
      <c r="I980" s="282"/>
      <c r="J980" s="282"/>
      <c r="K980" s="282"/>
      <c r="L980" s="282"/>
    </row>
    <row r="981" spans="1:12" s="104" customFormat="1" ht="24" customHeight="1">
      <c r="A981" s="203"/>
      <c r="B981" s="326"/>
      <c r="C981" s="160" t="s">
        <v>1408</v>
      </c>
      <c r="D981" s="160"/>
      <c r="E981" s="161"/>
      <c r="F981" s="160"/>
      <c r="H981" s="336"/>
      <c r="I981" s="282"/>
      <c r="J981" s="282"/>
      <c r="K981" s="282"/>
      <c r="L981" s="336" t="s">
        <v>1484</v>
      </c>
    </row>
    <row r="982" spans="1:12" s="104" customFormat="1" ht="24" customHeight="1">
      <c r="A982" s="203"/>
      <c r="B982" s="326"/>
      <c r="C982" s="160" t="s">
        <v>389</v>
      </c>
      <c r="D982" s="160"/>
      <c r="E982" s="161"/>
      <c r="F982" s="160"/>
      <c r="H982" s="78"/>
      <c r="I982" s="282"/>
      <c r="J982" s="282"/>
      <c r="K982" s="282"/>
      <c r="L982" s="282"/>
    </row>
    <row r="983" spans="1:12" s="104" customFormat="1" ht="24" customHeight="1">
      <c r="A983" s="206"/>
      <c r="B983" s="329"/>
      <c r="C983" s="165"/>
      <c r="D983" s="165"/>
      <c r="E983" s="166"/>
      <c r="F983" s="165"/>
      <c r="H983" s="78"/>
      <c r="I983" s="282"/>
      <c r="J983" s="282"/>
      <c r="K983" s="282"/>
      <c r="L983" s="282"/>
    </row>
    <row r="984" spans="1:12" s="104" customFormat="1" ht="24" customHeight="1">
      <c r="A984" s="199">
        <v>13</v>
      </c>
      <c r="B984" s="330" t="s">
        <v>16</v>
      </c>
      <c r="C984" s="272" t="s">
        <v>17</v>
      </c>
      <c r="D984" s="197" t="s">
        <v>1181</v>
      </c>
      <c r="E984" s="201">
        <v>2390000</v>
      </c>
      <c r="F984" s="197" t="s">
        <v>398</v>
      </c>
    </row>
    <row r="985" spans="1:12" s="104" customFormat="1" ht="24" customHeight="1">
      <c r="A985" s="226"/>
      <c r="B985" s="264" t="s">
        <v>1180</v>
      </c>
      <c r="C985" s="193" t="s">
        <v>1387</v>
      </c>
      <c r="D985" s="160" t="s">
        <v>1182</v>
      </c>
      <c r="E985" s="161"/>
      <c r="F985" s="160" t="s">
        <v>618</v>
      </c>
      <c r="H985" s="90"/>
      <c r="I985" s="103"/>
      <c r="J985" s="103"/>
      <c r="K985" s="103"/>
    </row>
    <row r="986" spans="1:12" s="104" customFormat="1" ht="24" customHeight="1">
      <c r="A986" s="158"/>
      <c r="B986" s="264" t="s">
        <v>1341</v>
      </c>
      <c r="C986" s="193" t="s">
        <v>1418</v>
      </c>
      <c r="D986" s="160" t="s">
        <v>1342</v>
      </c>
      <c r="E986" s="202"/>
      <c r="F986" s="160"/>
      <c r="H986" s="88" t="s">
        <v>276</v>
      </c>
      <c r="I986" s="103"/>
      <c r="J986" s="103"/>
      <c r="K986" s="88"/>
    </row>
    <row r="987" spans="1:12" s="104" customFormat="1" ht="24" customHeight="1">
      <c r="A987" s="158"/>
      <c r="B987" s="264"/>
      <c r="C987" s="160" t="s">
        <v>1485</v>
      </c>
      <c r="D987" s="160"/>
      <c r="E987" s="202"/>
      <c r="F987" s="160"/>
      <c r="H987" s="78"/>
      <c r="I987" s="103"/>
      <c r="J987" s="103"/>
      <c r="K987" s="103"/>
    </row>
    <row r="988" spans="1:12" s="104" customFormat="1" ht="24" customHeight="1">
      <c r="A988" s="158"/>
      <c r="B988" s="264"/>
      <c r="C988" s="160" t="s">
        <v>1441</v>
      </c>
      <c r="D988" s="160"/>
      <c r="E988" s="202"/>
      <c r="F988" s="160"/>
      <c r="H988" s="78"/>
      <c r="I988" s="103"/>
      <c r="J988" s="103"/>
      <c r="K988" s="103"/>
    </row>
    <row r="989" spans="1:12" s="104" customFormat="1" ht="24" customHeight="1">
      <c r="A989" s="158"/>
      <c r="B989" s="264"/>
      <c r="C989" s="160" t="s">
        <v>1147</v>
      </c>
      <c r="D989" s="160"/>
      <c r="E989" s="202"/>
      <c r="F989" s="160"/>
      <c r="H989" s="78"/>
      <c r="I989" s="103"/>
      <c r="J989" s="103"/>
      <c r="K989" s="103"/>
    </row>
    <row r="990" spans="1:12" s="104" customFormat="1" ht="24" customHeight="1">
      <c r="A990" s="158"/>
      <c r="B990" s="264"/>
      <c r="C990" s="160" t="s">
        <v>1404</v>
      </c>
      <c r="D990" s="160"/>
      <c r="E990" s="202"/>
      <c r="F990" s="160"/>
    </row>
    <row r="991" spans="1:12" s="104" customFormat="1" ht="24" customHeight="1">
      <c r="A991" s="163"/>
      <c r="B991" s="266"/>
      <c r="C991" s="165" t="s">
        <v>389</v>
      </c>
      <c r="D991" s="165"/>
      <c r="E991" s="213"/>
      <c r="F991" s="165"/>
    </row>
    <row r="992" spans="1:12" s="52" customFormat="1" ht="24" customHeight="1">
      <c r="A992" s="80"/>
      <c r="B992" s="89"/>
      <c r="C992" s="51"/>
      <c r="D992" s="51"/>
      <c r="E992" s="131"/>
    </row>
    <row r="993" spans="1:12" s="104" customFormat="1" ht="24" customHeight="1">
      <c r="A993" s="379" t="s">
        <v>1133</v>
      </c>
      <c r="B993" s="379"/>
      <c r="C993" s="379"/>
      <c r="D993" s="379"/>
      <c r="E993" s="379"/>
      <c r="F993" s="379"/>
    </row>
    <row r="994" spans="1:12" s="104" customFormat="1" ht="24" customHeight="1">
      <c r="A994" s="70"/>
      <c r="B994" s="70" t="s">
        <v>276</v>
      </c>
      <c r="C994" s="70"/>
      <c r="D994" s="70"/>
      <c r="E994" s="136"/>
      <c r="F994" s="72"/>
    </row>
    <row r="995" spans="1:12" s="104" customFormat="1" ht="24" customHeight="1">
      <c r="A995" s="40" t="s">
        <v>41</v>
      </c>
      <c r="B995" s="40" t="s">
        <v>619</v>
      </c>
      <c r="C995" s="40" t="s">
        <v>620</v>
      </c>
      <c r="D995" s="40" t="s">
        <v>605</v>
      </c>
      <c r="E995" s="137" t="s">
        <v>31</v>
      </c>
      <c r="F995" s="40" t="s">
        <v>396</v>
      </c>
      <c r="H995" s="336"/>
      <c r="I995" s="282"/>
      <c r="J995" s="282"/>
      <c r="K995" s="282"/>
      <c r="L995" s="282"/>
    </row>
    <row r="996" spans="1:12" s="104" customFormat="1" ht="24" customHeight="1">
      <c r="A996" s="41" t="s">
        <v>40</v>
      </c>
      <c r="B996" s="41"/>
      <c r="C996" s="41"/>
      <c r="D996" s="41" t="s">
        <v>606</v>
      </c>
      <c r="E996" s="129"/>
      <c r="F996" s="42"/>
      <c r="H996" s="336"/>
      <c r="I996" s="282"/>
      <c r="J996" s="282"/>
      <c r="K996" s="282"/>
      <c r="L996" s="336"/>
    </row>
    <row r="997" spans="1:12" s="104" customFormat="1" ht="24" customHeight="1">
      <c r="A997" s="190">
        <v>14</v>
      </c>
      <c r="B997" s="262" t="s">
        <v>16</v>
      </c>
      <c r="C997" s="252" t="s">
        <v>17</v>
      </c>
      <c r="D997" s="197" t="s">
        <v>1181</v>
      </c>
      <c r="E997" s="156">
        <v>3840000</v>
      </c>
      <c r="F997" s="197" t="s">
        <v>398</v>
      </c>
      <c r="H997" s="78"/>
      <c r="I997" s="282"/>
      <c r="J997" s="282"/>
      <c r="K997" s="282"/>
      <c r="L997" s="282"/>
    </row>
    <row r="998" spans="1:12" s="104" customFormat="1" ht="24" customHeight="1">
      <c r="A998" s="203"/>
      <c r="B998" s="264" t="s">
        <v>1183</v>
      </c>
      <c r="C998" s="193" t="s">
        <v>1405</v>
      </c>
      <c r="D998" s="160" t="s">
        <v>1182</v>
      </c>
      <c r="E998" s="161"/>
      <c r="F998" s="160" t="s">
        <v>618</v>
      </c>
      <c r="H998" s="78" t="s">
        <v>229</v>
      </c>
      <c r="I998" s="282"/>
      <c r="J998" s="282"/>
      <c r="K998" s="282"/>
      <c r="L998" s="282"/>
    </row>
    <row r="999" spans="1:12" s="104" customFormat="1" ht="24" customHeight="1">
      <c r="A999" s="203"/>
      <c r="B999" s="264" t="s">
        <v>1370</v>
      </c>
      <c r="C999" s="193" t="s">
        <v>1419</v>
      </c>
      <c r="D999" s="160" t="s">
        <v>1371</v>
      </c>
      <c r="E999" s="161"/>
      <c r="F999" s="160"/>
      <c r="H999" s="78"/>
      <c r="I999" s="103"/>
      <c r="J999" s="103"/>
      <c r="K999" s="103"/>
      <c r="L999" s="103"/>
    </row>
    <row r="1000" spans="1:12" s="104" customFormat="1" ht="24" customHeight="1">
      <c r="A1000" s="203"/>
      <c r="B1000" s="264"/>
      <c r="C1000" s="160" t="s">
        <v>1456</v>
      </c>
      <c r="D1000" s="160"/>
      <c r="E1000" s="161"/>
      <c r="F1000" s="160"/>
      <c r="H1000" s="78"/>
      <c r="I1000" s="103"/>
      <c r="J1000" s="103"/>
      <c r="K1000" s="103"/>
      <c r="L1000" s="103"/>
    </row>
    <row r="1001" spans="1:12" s="104" customFormat="1" ht="24" customHeight="1">
      <c r="A1001" s="203"/>
      <c r="B1001" s="326"/>
      <c r="C1001" s="160" t="s">
        <v>1441</v>
      </c>
      <c r="D1001" s="160"/>
      <c r="E1001" s="161"/>
      <c r="F1001" s="160"/>
      <c r="H1001" s="78"/>
      <c r="I1001" s="103"/>
      <c r="J1001" s="103"/>
      <c r="K1001" s="103"/>
      <c r="L1001" s="103"/>
    </row>
    <row r="1002" spans="1:12" s="104" customFormat="1" ht="24" customHeight="1">
      <c r="A1002" s="203"/>
      <c r="B1002" s="326"/>
      <c r="C1002" s="160" t="s">
        <v>1184</v>
      </c>
      <c r="D1002" s="160"/>
      <c r="E1002" s="161"/>
      <c r="F1002" s="160"/>
    </row>
    <row r="1003" spans="1:12" s="104" customFormat="1" ht="24" customHeight="1">
      <c r="A1003" s="203"/>
      <c r="B1003" s="326"/>
      <c r="C1003" s="160" t="s">
        <v>1408</v>
      </c>
      <c r="D1003" s="160"/>
      <c r="E1003" s="161"/>
      <c r="F1003" s="160"/>
      <c r="H1003" s="336"/>
    </row>
    <row r="1004" spans="1:12" s="104" customFormat="1" ht="24" customHeight="1">
      <c r="A1004" s="203"/>
      <c r="B1004" s="326"/>
      <c r="C1004" s="160" t="s">
        <v>389</v>
      </c>
      <c r="D1004" s="160"/>
      <c r="E1004" s="161"/>
      <c r="F1004" s="160"/>
      <c r="H1004" s="336"/>
    </row>
    <row r="1005" spans="1:12" s="104" customFormat="1" ht="24" customHeight="1">
      <c r="A1005" s="206"/>
      <c r="B1005" s="329"/>
      <c r="C1005" s="165"/>
      <c r="D1005" s="165"/>
      <c r="E1005" s="166"/>
      <c r="F1005" s="165"/>
      <c r="H1005" s="337"/>
    </row>
    <row r="1006" spans="1:12" s="104" customFormat="1" ht="24" customHeight="1">
      <c r="A1006" s="199">
        <v>15</v>
      </c>
      <c r="B1006" s="330" t="s">
        <v>1185</v>
      </c>
      <c r="C1006" s="197" t="s">
        <v>17</v>
      </c>
      <c r="D1006" s="197" t="s">
        <v>1181</v>
      </c>
      <c r="E1006" s="201">
        <v>2470000</v>
      </c>
      <c r="F1006" s="197" t="s">
        <v>398</v>
      </c>
      <c r="H1006" s="78"/>
      <c r="I1006" s="103"/>
      <c r="J1006" s="103"/>
      <c r="K1006" s="103"/>
      <c r="L1006" s="103"/>
    </row>
    <row r="1007" spans="1:12" s="104" customFormat="1" ht="24" customHeight="1">
      <c r="A1007" s="203"/>
      <c r="B1007" s="264" t="s">
        <v>1186</v>
      </c>
      <c r="C1007" s="193" t="s">
        <v>1387</v>
      </c>
      <c r="D1007" s="160" t="s">
        <v>1182</v>
      </c>
      <c r="E1007" s="161"/>
      <c r="F1007" s="160" t="s">
        <v>618</v>
      </c>
      <c r="H1007" s="78"/>
      <c r="I1007" s="103"/>
      <c r="J1007" s="103"/>
      <c r="K1007" s="103"/>
      <c r="L1007" s="88"/>
    </row>
    <row r="1008" spans="1:12" s="104" customFormat="1" ht="24" customHeight="1">
      <c r="A1008" s="203"/>
      <c r="B1008" s="264" t="s">
        <v>1187</v>
      </c>
      <c r="C1008" s="193" t="s">
        <v>1486</v>
      </c>
      <c r="D1008" s="160" t="s">
        <v>1325</v>
      </c>
      <c r="E1008" s="161"/>
      <c r="F1008" s="160"/>
      <c r="H1008" s="78"/>
      <c r="I1008" s="103"/>
      <c r="J1008" s="103"/>
      <c r="K1008" s="103"/>
      <c r="L1008" s="103"/>
    </row>
    <row r="1009" spans="1:12" s="104" customFormat="1" ht="24" customHeight="1">
      <c r="A1009" s="203"/>
      <c r="B1009" s="264" t="s">
        <v>1343</v>
      </c>
      <c r="C1009" s="193" t="s">
        <v>1487</v>
      </c>
      <c r="D1009" s="160" t="s">
        <v>1344</v>
      </c>
      <c r="E1009" s="161"/>
      <c r="F1009" s="160"/>
      <c r="H1009" s="78"/>
      <c r="I1009" s="103"/>
      <c r="J1009" s="103"/>
      <c r="K1009" s="103"/>
      <c r="L1009" s="103"/>
    </row>
    <row r="1010" spans="1:12" s="104" customFormat="1" ht="24" customHeight="1">
      <c r="A1010" s="203"/>
      <c r="B1010" s="264" t="s">
        <v>1188</v>
      </c>
      <c r="C1010" s="160" t="s">
        <v>1441</v>
      </c>
      <c r="D1010" s="160" t="s">
        <v>1189</v>
      </c>
      <c r="E1010" s="161"/>
      <c r="F1010" s="160"/>
      <c r="H1010" s="336"/>
      <c r="I1010" s="282"/>
      <c r="J1010" s="282"/>
      <c r="K1010" s="103"/>
      <c r="L1010" s="103"/>
    </row>
    <row r="1011" spans="1:12" s="104" customFormat="1" ht="24" customHeight="1">
      <c r="A1011" s="203"/>
      <c r="B1011" s="326"/>
      <c r="C1011" s="160" t="s">
        <v>1147</v>
      </c>
      <c r="D1011" s="160" t="s">
        <v>1188</v>
      </c>
      <c r="E1011" s="161"/>
      <c r="F1011" s="160"/>
      <c r="H1011" s="336"/>
      <c r="I1011" s="282"/>
      <c r="J1011" s="336"/>
    </row>
    <row r="1012" spans="1:12" s="104" customFormat="1" ht="24" customHeight="1">
      <c r="A1012" s="203"/>
      <c r="B1012" s="326"/>
      <c r="C1012" s="160" t="s">
        <v>1408</v>
      </c>
      <c r="D1012" s="160" t="s">
        <v>182</v>
      </c>
      <c r="E1012" s="161"/>
      <c r="F1012" s="160"/>
      <c r="H1012" s="78"/>
      <c r="I1012" s="282"/>
      <c r="J1012" s="282"/>
    </row>
    <row r="1013" spans="1:12" s="104" customFormat="1" ht="24" customHeight="1">
      <c r="A1013" s="203"/>
      <c r="B1013" s="326"/>
      <c r="C1013" s="160" t="s">
        <v>389</v>
      </c>
      <c r="D1013" s="160"/>
      <c r="E1013" s="161"/>
      <c r="F1013" s="160"/>
      <c r="I1013" s="282"/>
      <c r="J1013" s="282"/>
    </row>
    <row r="1014" spans="1:12" s="104" customFormat="1" ht="24" customHeight="1">
      <c r="A1014" s="206"/>
      <c r="B1014" s="329"/>
      <c r="C1014" s="165"/>
      <c r="D1014" s="165"/>
      <c r="E1014" s="166"/>
      <c r="F1014" s="165"/>
      <c r="I1014" s="282"/>
      <c r="J1014" s="282"/>
    </row>
    <row r="1015" spans="1:12" s="104" customFormat="1" ht="24" customHeight="1">
      <c r="A1015" s="199">
        <v>16</v>
      </c>
      <c r="B1015" s="330" t="s">
        <v>1185</v>
      </c>
      <c r="C1015" s="272" t="s">
        <v>15</v>
      </c>
      <c r="D1015" s="197" t="s">
        <v>1313</v>
      </c>
      <c r="E1015" s="201">
        <v>56000000</v>
      </c>
      <c r="F1015" s="197" t="s">
        <v>397</v>
      </c>
      <c r="I1015" s="282"/>
      <c r="J1015" s="282"/>
    </row>
    <row r="1016" spans="1:12" s="104" customFormat="1" ht="24" customHeight="1">
      <c r="A1016" s="226"/>
      <c r="B1016" s="264" t="s">
        <v>1190</v>
      </c>
      <c r="C1016" s="193" t="s">
        <v>1192</v>
      </c>
      <c r="D1016" s="160" t="s">
        <v>182</v>
      </c>
      <c r="E1016" s="161"/>
      <c r="F1016" s="160"/>
      <c r="I1016" s="282"/>
      <c r="J1016" s="282"/>
      <c r="K1016" s="103"/>
    </row>
    <row r="1017" spans="1:12" s="104" customFormat="1" ht="24" customHeight="1">
      <c r="A1017" s="158"/>
      <c r="B1017" s="264" t="s">
        <v>1191</v>
      </c>
      <c r="C1017" s="193" t="s">
        <v>1193</v>
      </c>
      <c r="D1017" s="160"/>
      <c r="E1017" s="202"/>
      <c r="F1017" s="160"/>
      <c r="I1017" s="282"/>
      <c r="J1017" s="282"/>
      <c r="K1017" s="88"/>
    </row>
    <row r="1018" spans="1:12" s="104" customFormat="1" ht="24" customHeight="1">
      <c r="A1018" s="158"/>
      <c r="B1018" s="264" t="s">
        <v>1326</v>
      </c>
      <c r="C1018" s="160" t="s">
        <v>1194</v>
      </c>
      <c r="D1018" s="160"/>
      <c r="E1018" s="202"/>
      <c r="F1018" s="160"/>
      <c r="I1018" s="282"/>
      <c r="J1018" s="282"/>
      <c r="K1018" s="103"/>
    </row>
    <row r="1019" spans="1:12" s="104" customFormat="1" ht="24" customHeight="1">
      <c r="A1019" s="158"/>
      <c r="B1019" s="264"/>
      <c r="C1019" s="160" t="s">
        <v>1195</v>
      </c>
      <c r="D1019" s="160"/>
      <c r="E1019" s="202"/>
      <c r="F1019" s="160"/>
      <c r="I1019" s="282"/>
      <c r="J1019" s="282"/>
      <c r="K1019" s="103"/>
    </row>
    <row r="1020" spans="1:12" s="104" customFormat="1" ht="24" customHeight="1">
      <c r="A1020" s="158"/>
      <c r="B1020" s="264"/>
      <c r="C1020" s="160" t="s">
        <v>1327</v>
      </c>
      <c r="D1020" s="160"/>
      <c r="E1020" s="202"/>
      <c r="F1020" s="160"/>
      <c r="I1020" s="282"/>
      <c r="J1020" s="282"/>
      <c r="K1020" s="103"/>
    </row>
    <row r="1021" spans="1:12" s="104" customFormat="1" ht="24" customHeight="1">
      <c r="A1021" s="158"/>
      <c r="B1021" s="264"/>
      <c r="C1021" s="160" t="s">
        <v>1467</v>
      </c>
      <c r="D1021" s="160"/>
      <c r="E1021" s="202"/>
      <c r="F1021" s="160"/>
      <c r="I1021" s="282"/>
      <c r="J1021" s="282"/>
    </row>
    <row r="1022" spans="1:12" s="104" customFormat="1" ht="24" customHeight="1">
      <c r="A1022" s="163"/>
      <c r="B1022" s="266"/>
      <c r="C1022" s="165" t="s">
        <v>1468</v>
      </c>
      <c r="D1022" s="165"/>
      <c r="E1022" s="213"/>
      <c r="F1022" s="165"/>
      <c r="I1022" s="282"/>
      <c r="J1022" s="282"/>
    </row>
    <row r="1023" spans="1:12" s="52" customFormat="1" ht="24" customHeight="1">
      <c r="A1023" s="80"/>
      <c r="B1023" s="89"/>
      <c r="C1023" s="51"/>
      <c r="D1023" s="51"/>
      <c r="E1023" s="131"/>
      <c r="I1023" s="282"/>
      <c r="J1023" s="282"/>
    </row>
    <row r="1024" spans="1:12" s="104" customFormat="1" ht="24" customHeight="1">
      <c r="A1024" s="379" t="s">
        <v>1134</v>
      </c>
      <c r="B1024" s="379"/>
      <c r="C1024" s="379"/>
      <c r="D1024" s="379"/>
      <c r="E1024" s="379"/>
      <c r="F1024" s="379"/>
      <c r="I1024" s="282"/>
      <c r="J1024" s="282"/>
    </row>
    <row r="1025" spans="1:12" s="104" customFormat="1" ht="24" customHeight="1">
      <c r="A1025" s="70"/>
      <c r="B1025" s="70" t="s">
        <v>276</v>
      </c>
      <c r="C1025" s="70"/>
      <c r="D1025" s="70"/>
      <c r="E1025" s="136"/>
      <c r="F1025" s="72"/>
      <c r="I1025" s="282"/>
      <c r="J1025" s="282"/>
    </row>
    <row r="1026" spans="1:12" s="104" customFormat="1" ht="24" customHeight="1">
      <c r="A1026" s="40" t="s">
        <v>41</v>
      </c>
      <c r="B1026" s="40" t="s">
        <v>619</v>
      </c>
      <c r="C1026" s="40" t="s">
        <v>620</v>
      </c>
      <c r="D1026" s="40" t="s">
        <v>605</v>
      </c>
      <c r="E1026" s="137" t="s">
        <v>31</v>
      </c>
      <c r="F1026" s="40" t="s">
        <v>396</v>
      </c>
      <c r="I1026" s="282"/>
      <c r="J1026" s="282"/>
    </row>
    <row r="1027" spans="1:12" s="104" customFormat="1" ht="24" customHeight="1">
      <c r="A1027" s="41" t="s">
        <v>40</v>
      </c>
      <c r="B1027" s="41"/>
      <c r="C1027" s="41"/>
      <c r="D1027" s="41" t="s">
        <v>606</v>
      </c>
      <c r="E1027" s="129"/>
      <c r="F1027" s="42"/>
    </row>
    <row r="1028" spans="1:12" s="104" customFormat="1" ht="24" customHeight="1">
      <c r="A1028" s="190"/>
      <c r="B1028" s="262"/>
      <c r="C1028" s="252" t="s">
        <v>1469</v>
      </c>
      <c r="D1028" s="155"/>
      <c r="E1028" s="156"/>
      <c r="F1028" s="155"/>
    </row>
    <row r="1029" spans="1:12" s="104" customFormat="1" ht="24" customHeight="1">
      <c r="A1029" s="203"/>
      <c r="B1029" s="264"/>
      <c r="C1029" s="193" t="s">
        <v>1440</v>
      </c>
      <c r="D1029" s="160"/>
      <c r="E1029" s="161"/>
      <c r="F1029" s="160"/>
      <c r="I1029" s="103"/>
      <c r="J1029" s="103"/>
      <c r="K1029" s="103"/>
      <c r="L1029" s="86"/>
    </row>
    <row r="1030" spans="1:12" s="104" customFormat="1" ht="24" customHeight="1">
      <c r="A1030" s="203"/>
      <c r="B1030" s="264"/>
      <c r="C1030" s="193" t="s">
        <v>1196</v>
      </c>
      <c r="D1030" s="160"/>
      <c r="E1030" s="161"/>
      <c r="F1030" s="160"/>
      <c r="I1030" s="103"/>
      <c r="J1030" s="103"/>
      <c r="K1030" s="103"/>
      <c r="L1030" s="103"/>
    </row>
    <row r="1031" spans="1:12" s="104" customFormat="1" ht="24" customHeight="1">
      <c r="A1031" s="203"/>
      <c r="B1031" s="264"/>
      <c r="C1031" s="160" t="s">
        <v>1328</v>
      </c>
      <c r="D1031" s="160"/>
      <c r="E1031" s="161"/>
      <c r="F1031" s="160"/>
      <c r="I1031" s="103"/>
      <c r="J1031" s="103"/>
      <c r="K1031" s="103"/>
      <c r="L1031" s="103"/>
    </row>
    <row r="1032" spans="1:12" s="104" customFormat="1" ht="24" customHeight="1">
      <c r="A1032" s="203"/>
      <c r="B1032" s="326"/>
      <c r="C1032" s="160" t="s">
        <v>1329</v>
      </c>
      <c r="D1032" s="160"/>
      <c r="E1032" s="161"/>
      <c r="F1032" s="160"/>
      <c r="I1032" s="103"/>
      <c r="J1032" s="103"/>
      <c r="K1032" s="103"/>
      <c r="L1032" s="103"/>
    </row>
    <row r="1033" spans="1:12" s="104" customFormat="1" ht="24" customHeight="1">
      <c r="A1033" s="203"/>
      <c r="B1033" s="326"/>
      <c r="C1033" s="160" t="s">
        <v>1345</v>
      </c>
      <c r="D1033" s="160"/>
      <c r="E1033" s="161"/>
      <c r="F1033" s="160"/>
    </row>
    <row r="1034" spans="1:12" s="104" customFormat="1" ht="24" customHeight="1">
      <c r="A1034" s="203"/>
      <c r="B1034" s="326"/>
      <c r="C1034" s="160" t="s">
        <v>983</v>
      </c>
      <c r="D1034" s="160"/>
      <c r="E1034" s="161"/>
      <c r="F1034" s="160"/>
    </row>
    <row r="1035" spans="1:12" s="104" customFormat="1" ht="24" customHeight="1">
      <c r="A1035" s="203"/>
      <c r="B1035" s="326"/>
      <c r="C1035" s="160" t="s">
        <v>1488</v>
      </c>
      <c r="D1035" s="160"/>
      <c r="E1035" s="161"/>
      <c r="F1035" s="160"/>
    </row>
    <row r="1036" spans="1:12" s="104" customFormat="1" ht="24" customHeight="1">
      <c r="A1036" s="203"/>
      <c r="B1036" s="326"/>
      <c r="C1036" s="160" t="s">
        <v>1489</v>
      </c>
      <c r="D1036" s="160"/>
      <c r="E1036" s="161"/>
      <c r="F1036" s="160"/>
    </row>
    <row r="1037" spans="1:12" s="104" customFormat="1" ht="24" customHeight="1">
      <c r="A1037" s="226"/>
      <c r="B1037" s="264"/>
      <c r="C1037" s="160" t="s">
        <v>1449</v>
      </c>
      <c r="D1037" s="160"/>
      <c r="E1037" s="161"/>
      <c r="F1037" s="160"/>
      <c r="H1037" s="87"/>
      <c r="I1037" s="103"/>
      <c r="J1037" s="103"/>
      <c r="K1037" s="103"/>
      <c r="L1037" s="103"/>
    </row>
    <row r="1038" spans="1:12" s="104" customFormat="1" ht="24" customHeight="1">
      <c r="A1038" s="203"/>
      <c r="B1038" s="264"/>
      <c r="C1038" s="193" t="s">
        <v>1197</v>
      </c>
      <c r="D1038" s="160"/>
      <c r="E1038" s="161"/>
      <c r="F1038" s="160"/>
      <c r="H1038" s="88"/>
      <c r="I1038" s="103"/>
      <c r="J1038" s="103"/>
      <c r="K1038" s="103"/>
      <c r="L1038" s="88"/>
    </row>
    <row r="1039" spans="1:12" s="104" customFormat="1" ht="24" customHeight="1">
      <c r="A1039" s="203"/>
      <c r="B1039" s="264"/>
      <c r="C1039" s="193" t="s">
        <v>1198</v>
      </c>
      <c r="D1039" s="160"/>
      <c r="E1039" s="161"/>
      <c r="F1039" s="160"/>
      <c r="H1039" s="78"/>
      <c r="I1039" s="103"/>
      <c r="J1039" s="103"/>
      <c r="K1039" s="103"/>
      <c r="L1039" s="103"/>
    </row>
    <row r="1040" spans="1:12" s="104" customFormat="1" ht="24" customHeight="1">
      <c r="A1040" s="203"/>
      <c r="B1040" s="264"/>
      <c r="C1040" s="193" t="s">
        <v>1346</v>
      </c>
      <c r="D1040" s="160"/>
      <c r="E1040" s="161"/>
      <c r="F1040" s="160"/>
      <c r="H1040" s="78"/>
      <c r="I1040" s="103"/>
      <c r="J1040" s="103"/>
      <c r="K1040" s="103"/>
      <c r="L1040" s="103"/>
    </row>
    <row r="1041" spans="1:12" s="104" customFormat="1" ht="24" customHeight="1">
      <c r="A1041" s="203"/>
      <c r="B1041" s="326"/>
      <c r="C1041" s="160" t="s">
        <v>1372</v>
      </c>
      <c r="D1041" s="160"/>
      <c r="E1041" s="161"/>
      <c r="F1041" s="160"/>
      <c r="H1041" s="78"/>
      <c r="I1041" s="103"/>
      <c r="J1041" s="103"/>
      <c r="K1041" s="103"/>
      <c r="L1041" s="103"/>
    </row>
    <row r="1042" spans="1:12" s="104" customFormat="1" ht="24" customHeight="1">
      <c r="A1042" s="203"/>
      <c r="B1042" s="326"/>
      <c r="C1042" s="160" t="s">
        <v>1470</v>
      </c>
      <c r="D1042" s="160"/>
      <c r="E1042" s="161"/>
      <c r="F1042" s="160"/>
    </row>
    <row r="1043" spans="1:12" s="104" customFormat="1" ht="24" customHeight="1">
      <c r="A1043" s="203"/>
      <c r="B1043" s="326"/>
      <c r="C1043" s="160" t="s">
        <v>1199</v>
      </c>
      <c r="D1043" s="160"/>
      <c r="E1043" s="161"/>
      <c r="F1043" s="160"/>
    </row>
    <row r="1044" spans="1:12" s="104" customFormat="1" ht="24" customHeight="1">
      <c r="A1044" s="203"/>
      <c r="B1044" s="326"/>
      <c r="C1044" s="160" t="s">
        <v>1330</v>
      </c>
      <c r="D1044" s="160"/>
      <c r="E1044" s="161"/>
      <c r="F1044" s="160"/>
    </row>
    <row r="1045" spans="1:12" s="104" customFormat="1" ht="24" customHeight="1">
      <c r="A1045" s="203"/>
      <c r="B1045" s="326"/>
      <c r="C1045" s="160" t="s">
        <v>1471</v>
      </c>
      <c r="D1045" s="160"/>
      <c r="E1045" s="161"/>
      <c r="F1045" s="160"/>
    </row>
    <row r="1046" spans="1:12" s="104" customFormat="1" ht="24" customHeight="1">
      <c r="A1046" s="203"/>
      <c r="B1046" s="326"/>
      <c r="C1046" s="193" t="s">
        <v>1389</v>
      </c>
      <c r="D1046" s="160"/>
      <c r="E1046" s="161"/>
      <c r="F1046" s="160"/>
    </row>
    <row r="1047" spans="1:12" s="104" customFormat="1" ht="24" customHeight="1">
      <c r="A1047" s="226"/>
      <c r="B1047" s="264"/>
      <c r="C1047" s="193" t="s">
        <v>1467</v>
      </c>
      <c r="D1047" s="160"/>
      <c r="E1047" s="161"/>
      <c r="F1047" s="160"/>
      <c r="H1047" s="90"/>
      <c r="I1047" s="103"/>
      <c r="J1047" s="103"/>
      <c r="K1047" s="103"/>
    </row>
    <row r="1048" spans="1:12" s="104" customFormat="1" ht="24" customHeight="1">
      <c r="A1048" s="158"/>
      <c r="B1048" s="264"/>
      <c r="C1048" s="193" t="s">
        <v>1420</v>
      </c>
      <c r="D1048" s="160"/>
      <c r="E1048" s="202"/>
      <c r="F1048" s="160"/>
      <c r="H1048" s="88" t="s">
        <v>276</v>
      </c>
      <c r="I1048" s="103"/>
      <c r="J1048" s="103"/>
      <c r="K1048" s="88"/>
    </row>
    <row r="1049" spans="1:12" s="104" customFormat="1" ht="24" customHeight="1">
      <c r="A1049" s="158"/>
      <c r="B1049" s="264"/>
      <c r="C1049" s="160" t="s">
        <v>1390</v>
      </c>
      <c r="D1049" s="160"/>
      <c r="E1049" s="202"/>
      <c r="F1049" s="160"/>
      <c r="H1049" s="78"/>
      <c r="I1049" s="103"/>
      <c r="J1049" s="103"/>
      <c r="K1049" s="103"/>
    </row>
    <row r="1050" spans="1:12" s="104" customFormat="1" ht="24" customHeight="1">
      <c r="A1050" s="158"/>
      <c r="B1050" s="264"/>
      <c r="C1050" s="160" t="s">
        <v>1440</v>
      </c>
      <c r="D1050" s="160"/>
      <c r="E1050" s="202"/>
      <c r="F1050" s="160"/>
      <c r="H1050" s="78"/>
      <c r="I1050" s="103"/>
      <c r="J1050" s="103"/>
      <c r="K1050" s="103"/>
    </row>
    <row r="1051" spans="1:12" s="104" customFormat="1" ht="24" customHeight="1">
      <c r="A1051" s="158"/>
      <c r="B1051" s="264"/>
      <c r="C1051" s="160" t="s">
        <v>1200</v>
      </c>
      <c r="D1051" s="160"/>
      <c r="E1051" s="202"/>
      <c r="F1051" s="160"/>
      <c r="H1051" s="78"/>
      <c r="I1051" s="103"/>
      <c r="J1051" s="103"/>
      <c r="K1051" s="103"/>
    </row>
    <row r="1052" spans="1:12" s="104" customFormat="1" ht="24" customHeight="1">
      <c r="A1052" s="158"/>
      <c r="B1052" s="264"/>
      <c r="C1052" s="260" t="s">
        <v>1201</v>
      </c>
      <c r="D1052" s="160"/>
      <c r="E1052" s="202"/>
      <c r="F1052" s="160"/>
    </row>
    <row r="1053" spans="1:12" s="104" customFormat="1" ht="24" customHeight="1">
      <c r="A1053" s="163"/>
      <c r="B1053" s="266"/>
      <c r="C1053" s="165" t="s">
        <v>1391</v>
      </c>
      <c r="D1053" s="165"/>
      <c r="E1053" s="213"/>
      <c r="F1053" s="165"/>
    </row>
    <row r="1054" spans="1:12" s="52" customFormat="1" ht="24" customHeight="1">
      <c r="A1054" s="80"/>
      <c r="B1054" s="89"/>
      <c r="C1054" s="51"/>
      <c r="D1054" s="51"/>
      <c r="E1054" s="131"/>
    </row>
    <row r="1055" spans="1:12" s="104" customFormat="1" ht="24" customHeight="1">
      <c r="A1055" s="379" t="s">
        <v>1135</v>
      </c>
      <c r="B1055" s="379"/>
      <c r="C1055" s="379"/>
      <c r="D1055" s="379"/>
      <c r="E1055" s="379"/>
      <c r="F1055" s="379"/>
    </row>
    <row r="1056" spans="1:12" s="104" customFormat="1" ht="24" customHeight="1">
      <c r="A1056" s="70"/>
      <c r="B1056" s="70" t="s">
        <v>276</v>
      </c>
      <c r="C1056" s="70"/>
      <c r="D1056" s="70"/>
      <c r="E1056" s="136"/>
      <c r="F1056" s="72"/>
    </row>
    <row r="1057" spans="1:12" s="104" customFormat="1" ht="24" customHeight="1">
      <c r="A1057" s="40" t="s">
        <v>41</v>
      </c>
      <c r="B1057" s="40" t="s">
        <v>619</v>
      </c>
      <c r="C1057" s="40" t="s">
        <v>620</v>
      </c>
      <c r="D1057" s="40" t="s">
        <v>605</v>
      </c>
      <c r="E1057" s="137" t="s">
        <v>31</v>
      </c>
      <c r="F1057" s="40" t="s">
        <v>396</v>
      </c>
    </row>
    <row r="1058" spans="1:12" s="104" customFormat="1" ht="24" customHeight="1">
      <c r="A1058" s="41" t="s">
        <v>40</v>
      </c>
      <c r="B1058" s="41"/>
      <c r="C1058" s="41"/>
      <c r="D1058" s="41" t="s">
        <v>606</v>
      </c>
      <c r="E1058" s="129"/>
      <c r="F1058" s="42"/>
      <c r="H1058" s="54"/>
    </row>
    <row r="1059" spans="1:12" s="104" customFormat="1" ht="24" customHeight="1">
      <c r="A1059" s="190"/>
      <c r="B1059" s="262"/>
      <c r="C1059" s="252" t="s">
        <v>1421</v>
      </c>
      <c r="D1059" s="155"/>
      <c r="E1059" s="156"/>
      <c r="F1059" s="155"/>
    </row>
    <row r="1060" spans="1:12" s="104" customFormat="1" ht="24" customHeight="1">
      <c r="A1060" s="203"/>
      <c r="B1060" s="264"/>
      <c r="C1060" s="193" t="s">
        <v>1470</v>
      </c>
      <c r="D1060" s="160"/>
      <c r="E1060" s="161"/>
      <c r="F1060" s="160"/>
      <c r="I1060" s="103"/>
      <c r="J1060" s="103"/>
      <c r="K1060" s="103"/>
      <c r="L1060" s="86"/>
    </row>
    <row r="1061" spans="1:12" s="104" customFormat="1" ht="24" customHeight="1">
      <c r="A1061" s="203"/>
      <c r="B1061" s="264"/>
      <c r="C1061" s="193" t="s">
        <v>1199</v>
      </c>
      <c r="D1061" s="160"/>
      <c r="E1061" s="161"/>
      <c r="F1061" s="160"/>
      <c r="H1061" s="78"/>
      <c r="I1061" s="103"/>
      <c r="J1061" s="103"/>
      <c r="K1061" s="103"/>
      <c r="L1061" s="103"/>
    </row>
    <row r="1062" spans="1:12" s="104" customFormat="1" ht="24" customHeight="1">
      <c r="A1062" s="203"/>
      <c r="B1062" s="264"/>
      <c r="C1062" s="160" t="s">
        <v>1331</v>
      </c>
      <c r="D1062" s="160"/>
      <c r="E1062" s="161"/>
      <c r="F1062" s="160"/>
      <c r="H1062" s="78"/>
      <c r="I1062" s="103"/>
      <c r="J1062" s="103"/>
      <c r="K1062" s="103"/>
      <c r="L1062" s="103"/>
    </row>
    <row r="1063" spans="1:12" s="104" customFormat="1" ht="24" customHeight="1">
      <c r="A1063" s="203"/>
      <c r="B1063" s="326"/>
      <c r="C1063" s="160" t="s">
        <v>1422</v>
      </c>
      <c r="D1063" s="160"/>
      <c r="E1063" s="161"/>
      <c r="F1063" s="160"/>
      <c r="H1063" s="336"/>
      <c r="I1063" s="282"/>
      <c r="J1063" s="282"/>
      <c r="K1063" s="282"/>
      <c r="L1063" s="336"/>
    </row>
    <row r="1064" spans="1:12" s="104" customFormat="1" ht="24" customHeight="1">
      <c r="A1064" s="206"/>
      <c r="B1064" s="329"/>
      <c r="C1064" s="165"/>
      <c r="D1064" s="165"/>
      <c r="E1064" s="166"/>
      <c r="F1064" s="165"/>
      <c r="H1064" s="78"/>
      <c r="I1064" s="282"/>
      <c r="J1064" s="282"/>
      <c r="K1064" s="282"/>
      <c r="L1064" s="282"/>
    </row>
    <row r="1065" spans="1:12" s="104" customFormat="1" ht="24" customHeight="1">
      <c r="A1065" s="199">
        <v>17</v>
      </c>
      <c r="B1065" s="330" t="s">
        <v>1202</v>
      </c>
      <c r="C1065" s="197" t="s">
        <v>390</v>
      </c>
      <c r="D1065" s="197" t="s">
        <v>1314</v>
      </c>
      <c r="E1065" s="201">
        <v>8370000</v>
      </c>
      <c r="F1065" s="197" t="s">
        <v>398</v>
      </c>
      <c r="I1065" s="282"/>
      <c r="J1065" s="282"/>
      <c r="K1065" s="282"/>
      <c r="L1065" s="282"/>
    </row>
    <row r="1066" spans="1:12" s="104" customFormat="1" ht="24" customHeight="1">
      <c r="A1066" s="203"/>
      <c r="B1066" s="264" t="s">
        <v>1203</v>
      </c>
      <c r="C1066" s="160" t="s">
        <v>1207</v>
      </c>
      <c r="D1066" s="160" t="s">
        <v>1206</v>
      </c>
      <c r="E1066" s="161"/>
      <c r="F1066" s="160" t="s">
        <v>618</v>
      </c>
    </row>
    <row r="1067" spans="1:12" s="104" customFormat="1" ht="24" customHeight="1">
      <c r="A1067" s="203"/>
      <c r="B1067" s="264" t="s">
        <v>1204</v>
      </c>
      <c r="C1067" s="160" t="s">
        <v>1490</v>
      </c>
      <c r="D1067" s="160" t="s">
        <v>1205</v>
      </c>
      <c r="E1067" s="161"/>
      <c r="F1067" s="160"/>
    </row>
    <row r="1068" spans="1:12" s="104" customFormat="1" ht="24" customHeight="1">
      <c r="A1068" s="226"/>
      <c r="B1068" s="264" t="s">
        <v>1205</v>
      </c>
      <c r="C1068" s="160" t="s">
        <v>1472</v>
      </c>
      <c r="D1068" s="160" t="s">
        <v>182</v>
      </c>
      <c r="E1068" s="161"/>
      <c r="F1068" s="160"/>
      <c r="H1068" s="87"/>
      <c r="I1068" s="103"/>
      <c r="J1068" s="103"/>
      <c r="K1068" s="103"/>
      <c r="L1068" s="103"/>
    </row>
    <row r="1069" spans="1:12" s="104" customFormat="1" ht="24" customHeight="1">
      <c r="A1069" s="203"/>
      <c r="B1069" s="264"/>
      <c r="C1069" s="193" t="s">
        <v>1208</v>
      </c>
      <c r="D1069" s="160"/>
      <c r="E1069" s="161"/>
      <c r="F1069" s="160"/>
      <c r="H1069" s="88"/>
      <c r="I1069" s="103"/>
      <c r="J1069" s="103"/>
      <c r="K1069" s="103"/>
      <c r="L1069" s="88"/>
    </row>
    <row r="1070" spans="1:12" s="104" customFormat="1" ht="24" customHeight="1">
      <c r="A1070" s="203"/>
      <c r="B1070" s="264"/>
      <c r="C1070" s="193" t="s">
        <v>1450</v>
      </c>
      <c r="D1070" s="160"/>
      <c r="E1070" s="161"/>
      <c r="F1070" s="160"/>
      <c r="H1070" s="78"/>
      <c r="I1070" s="103"/>
      <c r="J1070" s="103"/>
      <c r="K1070" s="103"/>
      <c r="L1070" s="103"/>
    </row>
    <row r="1071" spans="1:12" s="104" customFormat="1" ht="24" customHeight="1">
      <c r="A1071" s="203"/>
      <c r="B1071" s="264"/>
      <c r="C1071" s="193" t="s">
        <v>1209</v>
      </c>
      <c r="D1071" s="160"/>
      <c r="E1071" s="161"/>
      <c r="F1071" s="160"/>
      <c r="H1071" s="78"/>
      <c r="I1071" s="103"/>
      <c r="J1071" s="103"/>
      <c r="K1071" s="103"/>
      <c r="L1071" s="103"/>
    </row>
    <row r="1072" spans="1:12" s="104" customFormat="1" ht="24" customHeight="1">
      <c r="A1072" s="203"/>
      <c r="B1072" s="326"/>
      <c r="C1072" s="160" t="s">
        <v>1210</v>
      </c>
      <c r="D1072" s="160"/>
      <c r="E1072" s="161"/>
      <c r="F1072" s="160"/>
      <c r="H1072" s="78"/>
      <c r="I1072" s="103"/>
      <c r="J1072" s="103"/>
      <c r="K1072" s="103"/>
      <c r="L1072" s="103"/>
    </row>
    <row r="1073" spans="1:13" s="104" customFormat="1" ht="24" customHeight="1">
      <c r="A1073" s="203"/>
      <c r="B1073" s="326"/>
      <c r="C1073" s="160" t="s">
        <v>224</v>
      </c>
      <c r="D1073" s="160"/>
      <c r="E1073" s="161"/>
      <c r="F1073" s="160"/>
      <c r="H1073" s="336"/>
      <c r="I1073"/>
      <c r="J1073"/>
      <c r="K1073"/>
      <c r="L1073"/>
      <c r="M1073" s="335"/>
    </row>
    <row r="1074" spans="1:13" s="104" customFormat="1" ht="24" customHeight="1">
      <c r="A1074" s="206"/>
      <c r="B1074" s="329"/>
      <c r="C1074" s="165"/>
      <c r="D1074" s="165"/>
      <c r="E1074" s="166"/>
      <c r="F1074" s="165"/>
      <c r="H1074" s="78"/>
      <c r="I1074"/>
      <c r="J1074"/>
      <c r="K1074"/>
      <c r="L1074"/>
      <c r="M1074"/>
    </row>
    <row r="1075" spans="1:13" s="104" customFormat="1" ht="24" customHeight="1">
      <c r="A1075" s="199">
        <v>18</v>
      </c>
      <c r="B1075" s="332" t="s">
        <v>1211</v>
      </c>
      <c r="C1075" s="196" t="s">
        <v>1215</v>
      </c>
      <c r="D1075" s="196" t="s">
        <v>1315</v>
      </c>
      <c r="E1075" s="201">
        <v>4000000</v>
      </c>
      <c r="F1075" s="197" t="s">
        <v>397</v>
      </c>
    </row>
    <row r="1076" spans="1:13" s="104" customFormat="1" ht="24" customHeight="1">
      <c r="A1076" s="203"/>
      <c r="B1076" s="333" t="s">
        <v>1212</v>
      </c>
      <c r="C1076" s="175" t="s">
        <v>1451</v>
      </c>
      <c r="D1076" s="175" t="s">
        <v>1316</v>
      </c>
      <c r="E1076" s="161"/>
      <c r="F1076" s="160"/>
    </row>
    <row r="1077" spans="1:13" s="104" customFormat="1" ht="24" customHeight="1">
      <c r="A1077" s="203"/>
      <c r="B1077" s="333" t="s">
        <v>1213</v>
      </c>
      <c r="C1077" s="217" t="s">
        <v>1457</v>
      </c>
      <c r="D1077" s="175" t="s">
        <v>1317</v>
      </c>
      <c r="E1077" s="161"/>
      <c r="F1077" s="160"/>
    </row>
    <row r="1078" spans="1:13" s="104" customFormat="1" ht="24" customHeight="1">
      <c r="A1078" s="226"/>
      <c r="B1078" s="333" t="s">
        <v>1214</v>
      </c>
      <c r="C1078" s="217" t="s">
        <v>1423</v>
      </c>
      <c r="D1078" s="175" t="s">
        <v>1318</v>
      </c>
      <c r="E1078" s="161"/>
      <c r="F1078" s="160"/>
      <c r="H1078" s="90"/>
      <c r="I1078" s="103"/>
      <c r="J1078" s="103"/>
      <c r="K1078" s="103"/>
    </row>
    <row r="1079" spans="1:13" s="104" customFormat="1" ht="24" customHeight="1">
      <c r="A1079" s="158"/>
      <c r="B1079" s="333"/>
      <c r="C1079" s="217" t="s">
        <v>1216</v>
      </c>
      <c r="D1079" s="175"/>
      <c r="E1079" s="202"/>
      <c r="F1079" s="160"/>
      <c r="H1079" s="88" t="s">
        <v>276</v>
      </c>
      <c r="I1079" s="103"/>
      <c r="J1079" s="103"/>
      <c r="K1079" s="88"/>
    </row>
    <row r="1080" spans="1:13" s="104" customFormat="1" ht="24" customHeight="1">
      <c r="A1080" s="158"/>
      <c r="B1080" s="333"/>
      <c r="C1080" s="175" t="s">
        <v>350</v>
      </c>
      <c r="D1080" s="175"/>
      <c r="E1080" s="202"/>
      <c r="F1080" s="160"/>
      <c r="H1080" s="78"/>
      <c r="I1080" s="103"/>
      <c r="J1080" s="103"/>
      <c r="K1080" s="103"/>
    </row>
    <row r="1081" spans="1:13" s="104" customFormat="1" ht="24" customHeight="1">
      <c r="A1081" s="158"/>
      <c r="B1081" s="333"/>
      <c r="C1081" s="175"/>
      <c r="D1081" s="175"/>
      <c r="E1081" s="202"/>
      <c r="F1081" s="160"/>
      <c r="H1081" s="78"/>
      <c r="I1081" s="103"/>
      <c r="J1081" s="103"/>
      <c r="K1081" s="103"/>
    </row>
    <row r="1082" spans="1:13" s="104" customFormat="1" ht="24" customHeight="1">
      <c r="A1082" s="158"/>
      <c r="B1082" s="333"/>
      <c r="C1082" s="175"/>
      <c r="D1082" s="175"/>
      <c r="E1082" s="202"/>
      <c r="F1082" s="160"/>
      <c r="H1082" s="78"/>
      <c r="I1082" s="103"/>
      <c r="J1082" s="103"/>
      <c r="K1082" s="103"/>
    </row>
    <row r="1083" spans="1:13" s="104" customFormat="1" ht="24" customHeight="1">
      <c r="A1083" s="158"/>
      <c r="B1083" s="333"/>
      <c r="C1083" s="175"/>
      <c r="D1083" s="175"/>
      <c r="E1083" s="202"/>
      <c r="F1083" s="160"/>
    </row>
    <row r="1084" spans="1:13" s="104" customFormat="1" ht="24" customHeight="1">
      <c r="A1084" s="163"/>
      <c r="B1084" s="334"/>
      <c r="C1084" s="181"/>
      <c r="D1084" s="181"/>
      <c r="E1084" s="213"/>
      <c r="F1084" s="165"/>
    </row>
    <row r="1085" spans="1:13" s="52" customFormat="1" ht="24" customHeight="1">
      <c r="A1085" s="80"/>
      <c r="B1085" s="89"/>
      <c r="C1085" s="51"/>
      <c r="D1085" s="51"/>
      <c r="E1085" s="131"/>
    </row>
    <row r="1086" spans="1:13" s="104" customFormat="1" ht="24" customHeight="1">
      <c r="A1086" s="379" t="s">
        <v>1136</v>
      </c>
      <c r="B1086" s="379"/>
      <c r="C1086" s="379"/>
      <c r="D1086" s="379"/>
      <c r="E1086" s="379"/>
      <c r="F1086" s="379"/>
    </row>
    <row r="1087" spans="1:13" s="104" customFormat="1" ht="24" customHeight="1">
      <c r="A1087" s="70"/>
      <c r="B1087" s="70" t="s">
        <v>276</v>
      </c>
      <c r="C1087" s="70"/>
      <c r="D1087" s="70"/>
      <c r="E1087" s="136"/>
      <c r="F1087" s="72"/>
    </row>
    <row r="1088" spans="1:13" s="104" customFormat="1" ht="24" customHeight="1">
      <c r="A1088" s="40" t="s">
        <v>41</v>
      </c>
      <c r="B1088" s="40" t="s">
        <v>619</v>
      </c>
      <c r="C1088" s="40" t="s">
        <v>620</v>
      </c>
      <c r="D1088" s="40" t="s">
        <v>605</v>
      </c>
      <c r="E1088" s="137" t="s">
        <v>31</v>
      </c>
      <c r="F1088" s="40" t="s">
        <v>396</v>
      </c>
      <c r="H1088" s="336"/>
      <c r="I1088" s="282"/>
      <c r="J1088" s="282"/>
      <c r="K1088" s="282"/>
      <c r="L1088" s="282"/>
    </row>
    <row r="1089" spans="1:15" s="104" customFormat="1" ht="24" customHeight="1">
      <c r="A1089" s="41" t="s">
        <v>40</v>
      </c>
      <c r="B1089" s="41"/>
      <c r="C1089" s="41"/>
      <c r="D1089" s="41" t="s">
        <v>606</v>
      </c>
      <c r="E1089" s="129"/>
      <c r="F1089" s="42"/>
      <c r="H1089" s="336"/>
      <c r="I1089" s="282"/>
      <c r="J1089" s="282"/>
      <c r="K1089" s="282"/>
      <c r="L1089" s="336" t="s">
        <v>1424</v>
      </c>
    </row>
    <row r="1090" spans="1:15" s="104" customFormat="1" ht="24" customHeight="1">
      <c r="A1090" s="190">
        <v>19</v>
      </c>
      <c r="B1090" s="262" t="s">
        <v>16</v>
      </c>
      <c r="C1090" s="252" t="s">
        <v>17</v>
      </c>
      <c r="D1090" s="155" t="s">
        <v>1218</v>
      </c>
      <c r="E1090" s="156">
        <v>1550000</v>
      </c>
      <c r="F1090" s="197" t="s">
        <v>398</v>
      </c>
      <c r="H1090" s="78"/>
      <c r="I1090" s="282"/>
      <c r="J1090" s="282"/>
      <c r="K1090" s="282"/>
      <c r="L1090" s="282"/>
    </row>
    <row r="1091" spans="1:15" s="104" customFormat="1" ht="24" customHeight="1">
      <c r="A1091" s="203"/>
      <c r="B1091" s="264" t="s">
        <v>1138</v>
      </c>
      <c r="C1091" s="193" t="s">
        <v>1425</v>
      </c>
      <c r="D1091" s="160" t="s">
        <v>1347</v>
      </c>
      <c r="E1091" s="161"/>
      <c r="F1091" s="160" t="s">
        <v>618</v>
      </c>
      <c r="H1091" s="78"/>
      <c r="I1091" s="282"/>
      <c r="J1091" s="282"/>
      <c r="K1091" s="282"/>
      <c r="L1091" s="282"/>
    </row>
    <row r="1092" spans="1:15" s="104" customFormat="1" ht="24" customHeight="1">
      <c r="A1092" s="203"/>
      <c r="B1092" s="264" t="s">
        <v>1373</v>
      </c>
      <c r="C1092" s="193" t="s">
        <v>1473</v>
      </c>
      <c r="D1092" s="160" t="s">
        <v>1374</v>
      </c>
      <c r="E1092" s="161"/>
      <c r="F1092" s="160"/>
      <c r="H1092" s="78"/>
      <c r="I1092" s="282"/>
      <c r="J1092" s="282"/>
      <c r="K1092" s="282"/>
      <c r="L1092" s="282"/>
    </row>
    <row r="1093" spans="1:15" s="104" customFormat="1" ht="24" customHeight="1">
      <c r="A1093" s="203"/>
      <c r="B1093" s="264"/>
      <c r="C1093" s="160" t="s">
        <v>1491</v>
      </c>
      <c r="D1093" s="160"/>
      <c r="E1093" s="161"/>
      <c r="F1093" s="160"/>
      <c r="H1093" s="78"/>
      <c r="I1093" s="103"/>
      <c r="J1093" s="103"/>
      <c r="K1093" s="103"/>
      <c r="L1093" s="103"/>
    </row>
    <row r="1094" spans="1:15" s="104" customFormat="1" ht="24" customHeight="1">
      <c r="A1094" s="203"/>
      <c r="B1094" s="326"/>
      <c r="C1094" s="160" t="s">
        <v>1441</v>
      </c>
      <c r="D1094" s="160"/>
      <c r="E1094" s="161"/>
      <c r="F1094" s="160"/>
      <c r="H1094" s="78"/>
      <c r="I1094" s="103"/>
      <c r="J1094" s="103"/>
      <c r="K1094" s="103"/>
      <c r="L1094" s="103"/>
    </row>
    <row r="1095" spans="1:15" s="104" customFormat="1" ht="24" customHeight="1">
      <c r="A1095" s="203"/>
      <c r="B1095" s="326"/>
      <c r="C1095" s="160" t="s">
        <v>1217</v>
      </c>
      <c r="D1095" s="160"/>
      <c r="E1095" s="161"/>
      <c r="F1095" s="160"/>
    </row>
    <row r="1096" spans="1:15" s="104" customFormat="1" ht="24" customHeight="1">
      <c r="A1096" s="203"/>
      <c r="B1096" s="326"/>
      <c r="C1096" s="160" t="s">
        <v>1426</v>
      </c>
      <c r="D1096" s="160"/>
      <c r="E1096" s="161"/>
      <c r="F1096" s="160"/>
    </row>
    <row r="1097" spans="1:15" s="104" customFormat="1" ht="24" customHeight="1">
      <c r="A1097" s="203"/>
      <c r="B1097" s="326"/>
      <c r="C1097" s="160" t="s">
        <v>350</v>
      </c>
      <c r="D1097" s="160"/>
      <c r="E1097" s="161"/>
      <c r="F1097" s="160"/>
    </row>
    <row r="1098" spans="1:15" s="104" customFormat="1" ht="24" customHeight="1">
      <c r="A1098" s="206"/>
      <c r="B1098" s="329"/>
      <c r="C1098" s="165"/>
      <c r="D1098" s="165"/>
      <c r="E1098" s="166"/>
      <c r="F1098" s="165"/>
    </row>
    <row r="1099" spans="1:15" s="104" customFormat="1" ht="24" customHeight="1">
      <c r="A1099" s="199">
        <v>20</v>
      </c>
      <c r="B1099" s="330" t="s">
        <v>16</v>
      </c>
      <c r="C1099" s="197" t="s">
        <v>17</v>
      </c>
      <c r="D1099" s="197" t="s">
        <v>1221</v>
      </c>
      <c r="E1099" s="201">
        <v>20000000</v>
      </c>
      <c r="F1099" s="197" t="s">
        <v>398</v>
      </c>
      <c r="H1099" s="336"/>
      <c r="I1099" s="282"/>
      <c r="J1099" s="282"/>
      <c r="K1099" s="282"/>
      <c r="L1099" s="282"/>
      <c r="M1099" s="282"/>
      <c r="N1099" s="282"/>
      <c r="O1099" s="336" t="s">
        <v>1348</v>
      </c>
    </row>
    <row r="1100" spans="1:15" s="104" customFormat="1" ht="24" customHeight="1">
      <c r="A1100" s="203"/>
      <c r="B1100" s="264" t="s">
        <v>1138</v>
      </c>
      <c r="C1100" s="193" t="s">
        <v>1452</v>
      </c>
      <c r="D1100" s="160" t="s">
        <v>1222</v>
      </c>
      <c r="E1100" s="161"/>
      <c r="F1100" s="160" t="s">
        <v>618</v>
      </c>
      <c r="H1100" s="78"/>
      <c r="I1100" s="282"/>
      <c r="J1100" s="282"/>
      <c r="K1100" s="282"/>
      <c r="L1100" s="282"/>
      <c r="M1100" s="282"/>
      <c r="N1100" s="282"/>
      <c r="O1100" s="282"/>
    </row>
    <row r="1101" spans="1:15" s="104" customFormat="1" ht="24" customHeight="1">
      <c r="A1101" s="203"/>
      <c r="B1101" s="264" t="s">
        <v>1219</v>
      </c>
      <c r="C1101" s="193" t="s">
        <v>1458</v>
      </c>
      <c r="D1101" s="160" t="s">
        <v>198</v>
      </c>
      <c r="E1101" s="161"/>
      <c r="F1101" s="160"/>
      <c r="H1101" s="78"/>
      <c r="I1101" s="282"/>
      <c r="J1101" s="282"/>
      <c r="K1101" s="282"/>
      <c r="L1101" s="282"/>
      <c r="M1101" s="282"/>
      <c r="N1101" s="282"/>
      <c r="O1101" s="282"/>
    </row>
    <row r="1102" spans="1:15" s="104" customFormat="1" ht="24" customHeight="1">
      <c r="A1102" s="203"/>
      <c r="B1102" s="264"/>
      <c r="C1102" s="193" t="s">
        <v>1474</v>
      </c>
      <c r="D1102" s="160"/>
      <c r="E1102" s="161"/>
      <c r="F1102" s="160"/>
      <c r="H1102" s="78"/>
      <c r="I1102" s="103"/>
      <c r="J1102" s="103"/>
      <c r="K1102" s="103"/>
      <c r="L1102" s="103"/>
    </row>
    <row r="1103" spans="1:15" s="104" customFormat="1" ht="24" customHeight="1">
      <c r="A1103" s="203"/>
      <c r="B1103" s="326"/>
      <c r="C1103" s="160" t="s">
        <v>1475</v>
      </c>
      <c r="D1103" s="160"/>
      <c r="E1103" s="161"/>
      <c r="F1103" s="160"/>
      <c r="H1103" s="78"/>
      <c r="I1103" s="103"/>
      <c r="J1103" s="103"/>
      <c r="K1103" s="103"/>
      <c r="L1103" s="103"/>
    </row>
    <row r="1104" spans="1:15" s="104" customFormat="1" ht="24" customHeight="1">
      <c r="A1104" s="203"/>
      <c r="B1104" s="326"/>
      <c r="C1104" s="160" t="s">
        <v>1220</v>
      </c>
      <c r="D1104" s="160"/>
      <c r="E1104" s="161"/>
      <c r="F1104" s="160"/>
    </row>
    <row r="1105" spans="1:12" s="104" customFormat="1" ht="24" customHeight="1">
      <c r="A1105" s="203"/>
      <c r="B1105" s="326"/>
      <c r="C1105" s="160" t="s">
        <v>1426</v>
      </c>
      <c r="D1105" s="160"/>
      <c r="E1105" s="161"/>
      <c r="F1105" s="160"/>
    </row>
    <row r="1106" spans="1:12" s="104" customFormat="1" ht="24" customHeight="1">
      <c r="A1106" s="203"/>
      <c r="B1106" s="326"/>
      <c r="C1106" s="160" t="s">
        <v>350</v>
      </c>
      <c r="D1106" s="160"/>
      <c r="E1106" s="161"/>
      <c r="F1106" s="160"/>
      <c r="H1106" s="336"/>
      <c r="I1106" s="282"/>
      <c r="J1106" s="282"/>
      <c r="K1106" s="282"/>
      <c r="L1106" s="282"/>
    </row>
    <row r="1107" spans="1:12" s="104" customFormat="1" ht="24" customHeight="1">
      <c r="A1107" s="206"/>
      <c r="B1107" s="329"/>
      <c r="C1107" s="165"/>
      <c r="D1107" s="165"/>
      <c r="E1107" s="166"/>
      <c r="F1107" s="165"/>
      <c r="H1107" s="336"/>
      <c r="I1107" s="282"/>
      <c r="J1107" s="282"/>
      <c r="K1107" s="282"/>
      <c r="L1107" s="336" t="s">
        <v>1459</v>
      </c>
    </row>
    <row r="1108" spans="1:12" s="104" customFormat="1" ht="24" customHeight="1">
      <c r="A1108" s="331"/>
      <c r="B1108" s="338" t="s">
        <v>1223</v>
      </c>
      <c r="C1108" s="272"/>
      <c r="D1108" s="197"/>
      <c r="E1108" s="356">
        <f>SUM(E1109:E1115,E1135:E1146,E1152:E1177,E1183:E1208,E1213:E1219)</f>
        <v>121365000</v>
      </c>
      <c r="F1108" s="197"/>
      <c r="I1108" s="282"/>
      <c r="J1108" s="282"/>
      <c r="K1108" s="282"/>
      <c r="L1108" s="282"/>
    </row>
    <row r="1109" spans="1:12" s="104" customFormat="1" ht="24" customHeight="1">
      <c r="A1109" s="226">
        <v>1</v>
      </c>
      <c r="B1109" s="341" t="s">
        <v>1225</v>
      </c>
      <c r="C1109" s="193" t="s">
        <v>1229</v>
      </c>
      <c r="D1109" s="160" t="s">
        <v>1227</v>
      </c>
      <c r="E1109" s="161">
        <v>70000000</v>
      </c>
      <c r="F1109" s="197" t="s">
        <v>398</v>
      </c>
      <c r="I1109" s="282"/>
      <c r="J1109" s="282"/>
      <c r="K1109" s="282"/>
      <c r="L1109" s="282"/>
    </row>
    <row r="1110" spans="1:12" s="104" customFormat="1" ht="24" customHeight="1">
      <c r="A1110" s="158"/>
      <c r="B1110" s="341" t="s">
        <v>1226</v>
      </c>
      <c r="C1110" s="193" t="s">
        <v>1392</v>
      </c>
      <c r="D1110" s="160" t="s">
        <v>1393</v>
      </c>
      <c r="E1110" s="202"/>
      <c r="F1110" s="160" t="s">
        <v>618</v>
      </c>
      <c r="I1110" s="282"/>
      <c r="J1110" s="282"/>
      <c r="K1110" s="282"/>
      <c r="L1110" s="282"/>
    </row>
    <row r="1111" spans="1:12" s="104" customFormat="1" ht="24" customHeight="1">
      <c r="A1111" s="158"/>
      <c r="B1111" s="264" t="s">
        <v>1394</v>
      </c>
      <c r="C1111" s="160" t="s">
        <v>1230</v>
      </c>
      <c r="D1111" s="160" t="s">
        <v>1228</v>
      </c>
      <c r="E1111" s="202"/>
      <c r="F1111" s="160"/>
      <c r="I1111" s="282"/>
      <c r="J1111" s="282"/>
      <c r="K1111" s="282"/>
      <c r="L1111" s="282"/>
    </row>
    <row r="1112" spans="1:12" s="104" customFormat="1" ht="24" customHeight="1">
      <c r="A1112" s="158"/>
      <c r="B1112" s="264" t="s">
        <v>1332</v>
      </c>
      <c r="C1112" s="160" t="s">
        <v>794</v>
      </c>
      <c r="D1112" s="160" t="s">
        <v>149</v>
      </c>
      <c r="E1112" s="202"/>
      <c r="F1112" s="160"/>
      <c r="I1112" s="282"/>
      <c r="J1112" s="282"/>
      <c r="K1112" s="282"/>
      <c r="L1112" s="282"/>
    </row>
    <row r="1113" spans="1:12" s="104" customFormat="1" ht="24" customHeight="1">
      <c r="A1113" s="158"/>
      <c r="B1113" s="264"/>
      <c r="C1113" s="160" t="s">
        <v>1231</v>
      </c>
      <c r="D1113" s="160"/>
      <c r="E1113" s="202"/>
      <c r="F1113" s="160"/>
      <c r="I1113" s="282"/>
      <c r="J1113" s="282"/>
      <c r="K1113" s="282"/>
      <c r="L1113" s="282"/>
    </row>
    <row r="1114" spans="1:12" s="104" customFormat="1" ht="24" customHeight="1">
      <c r="A1114" s="158"/>
      <c r="B1114" s="264"/>
      <c r="C1114" s="160"/>
      <c r="D1114" s="160"/>
      <c r="E1114" s="202"/>
      <c r="F1114" s="160"/>
    </row>
    <row r="1115" spans="1:12" s="104" customFormat="1" ht="24" customHeight="1">
      <c r="A1115" s="163"/>
      <c r="B1115" s="266"/>
      <c r="C1115" s="165"/>
      <c r="D1115" s="165"/>
      <c r="E1115" s="213"/>
      <c r="F1115" s="165"/>
    </row>
    <row r="1116" spans="1:12" s="52" customFormat="1" ht="24" customHeight="1">
      <c r="A1116" s="80"/>
      <c r="B1116" s="89"/>
      <c r="C1116" s="51"/>
      <c r="D1116" s="51"/>
      <c r="E1116" s="131"/>
    </row>
    <row r="1117" spans="1:12" s="104" customFormat="1" ht="24" customHeight="1">
      <c r="A1117" s="379" t="s">
        <v>583</v>
      </c>
      <c r="B1117" s="379"/>
      <c r="C1117" s="379"/>
      <c r="D1117" s="379"/>
      <c r="E1117" s="379"/>
      <c r="F1117" s="379"/>
    </row>
    <row r="1118" spans="1:12" s="104" customFormat="1" ht="24" customHeight="1">
      <c r="A1118" s="40" t="s">
        <v>41</v>
      </c>
      <c r="B1118" s="40" t="s">
        <v>619</v>
      </c>
      <c r="C1118" s="40" t="s">
        <v>620</v>
      </c>
      <c r="D1118" s="40" t="s">
        <v>605</v>
      </c>
      <c r="E1118" s="137" t="s">
        <v>31</v>
      </c>
      <c r="F1118" s="40" t="s">
        <v>396</v>
      </c>
    </row>
    <row r="1119" spans="1:12" s="104" customFormat="1" ht="24" customHeight="1">
      <c r="A1119" s="41" t="s">
        <v>40</v>
      </c>
      <c r="B1119" s="41"/>
      <c r="C1119" s="41"/>
      <c r="D1119" s="41" t="s">
        <v>606</v>
      </c>
      <c r="E1119" s="129"/>
      <c r="F1119" s="42"/>
      <c r="H1119" s="54"/>
    </row>
    <row r="1120" spans="1:12" s="104" customFormat="1" ht="24" customHeight="1">
      <c r="A1120" s="190"/>
      <c r="B1120" s="262"/>
      <c r="C1120" s="252" t="s">
        <v>1333</v>
      </c>
      <c r="D1120" s="155"/>
      <c r="E1120" s="156"/>
      <c r="F1120" s="155"/>
      <c r="H1120" s="104" t="s">
        <v>1085</v>
      </c>
    </row>
    <row r="1121" spans="1:12" s="104" customFormat="1" ht="24" customHeight="1">
      <c r="A1121" s="203"/>
      <c r="B1121" s="264"/>
      <c r="C1121" s="193" t="s">
        <v>1198</v>
      </c>
      <c r="D1121" s="160"/>
      <c r="E1121" s="161"/>
      <c r="F1121" s="160"/>
      <c r="H1121" s="340" t="s">
        <v>939</v>
      </c>
      <c r="I1121" s="103"/>
      <c r="J1121" s="103"/>
      <c r="K1121" s="103"/>
      <c r="L1121" s="86"/>
    </row>
    <row r="1122" spans="1:12" s="104" customFormat="1" ht="24" customHeight="1">
      <c r="A1122" s="203"/>
      <c r="B1122" s="264"/>
      <c r="C1122" s="193" t="s">
        <v>1395</v>
      </c>
      <c r="D1122" s="160"/>
      <c r="E1122" s="161"/>
      <c r="F1122" s="160"/>
      <c r="H1122" s="340" t="s">
        <v>1232</v>
      </c>
      <c r="I1122" s="103"/>
      <c r="J1122" s="103"/>
      <c r="K1122" s="103"/>
      <c r="L1122" s="103"/>
    </row>
    <row r="1123" spans="1:12" s="104" customFormat="1" ht="24" customHeight="1">
      <c r="A1123" s="203"/>
      <c r="B1123" s="264"/>
      <c r="C1123" s="160" t="s">
        <v>1427</v>
      </c>
      <c r="D1123" s="160"/>
      <c r="E1123" s="161"/>
      <c r="F1123" s="160"/>
      <c r="H1123" s="104" t="s">
        <v>229</v>
      </c>
      <c r="I1123" s="103"/>
      <c r="J1123" s="103"/>
      <c r="K1123" s="103"/>
      <c r="L1123" s="103"/>
    </row>
    <row r="1124" spans="1:12" s="104" customFormat="1" ht="24" customHeight="1">
      <c r="A1124" s="203"/>
      <c r="B1124" s="326"/>
      <c r="C1124" s="160" t="s">
        <v>1349</v>
      </c>
      <c r="D1124" s="160"/>
      <c r="E1124" s="161"/>
      <c r="F1124" s="160"/>
      <c r="H1124" s="104" t="s">
        <v>1085</v>
      </c>
      <c r="I1124" s="103"/>
      <c r="J1124" s="103"/>
      <c r="K1124" s="103"/>
      <c r="L1124" s="103"/>
    </row>
    <row r="1125" spans="1:12" s="104" customFormat="1" ht="24" customHeight="1">
      <c r="A1125" s="203"/>
      <c r="B1125" s="326"/>
      <c r="C1125" s="160" t="s">
        <v>1334</v>
      </c>
      <c r="D1125" s="160"/>
      <c r="E1125" s="161"/>
      <c r="F1125" s="160"/>
    </row>
    <row r="1126" spans="1:12" s="104" customFormat="1" ht="24" customHeight="1">
      <c r="A1126" s="203"/>
      <c r="B1126" s="326"/>
      <c r="C1126" s="160" t="s">
        <v>1427</v>
      </c>
      <c r="D1126" s="160"/>
      <c r="E1126" s="161"/>
      <c r="F1126" s="160"/>
    </row>
    <row r="1127" spans="1:12" s="104" customFormat="1" ht="24" customHeight="1">
      <c r="A1127" s="203"/>
      <c r="B1127" s="326"/>
      <c r="C1127" s="160" t="s">
        <v>1375</v>
      </c>
      <c r="D1127" s="160"/>
      <c r="E1127" s="161"/>
      <c r="F1127" s="160"/>
    </row>
    <row r="1128" spans="1:12" s="104" customFormat="1" ht="24" customHeight="1">
      <c r="A1128" s="203"/>
      <c r="B1128" s="326"/>
      <c r="C1128" s="160" t="s">
        <v>1428</v>
      </c>
      <c r="D1128" s="160"/>
      <c r="E1128" s="161"/>
      <c r="F1128" s="160"/>
    </row>
    <row r="1129" spans="1:12" s="104" customFormat="1" ht="24" customHeight="1">
      <c r="A1129" s="226"/>
      <c r="B1129" s="264"/>
      <c r="C1129" s="160" t="s">
        <v>1476</v>
      </c>
      <c r="D1129" s="160"/>
      <c r="E1129" s="161"/>
      <c r="F1129" s="160"/>
      <c r="H1129" s="87"/>
      <c r="I1129" s="103"/>
      <c r="J1129" s="103"/>
      <c r="K1129" s="103"/>
      <c r="L1129" s="103"/>
    </row>
    <row r="1130" spans="1:12" s="104" customFormat="1" ht="24" customHeight="1">
      <c r="A1130" s="203"/>
      <c r="B1130" s="264"/>
      <c r="C1130" s="193" t="s">
        <v>1376</v>
      </c>
      <c r="D1130" s="160"/>
      <c r="E1130" s="161"/>
      <c r="F1130" s="160"/>
      <c r="H1130" s="88"/>
      <c r="I1130" s="103"/>
      <c r="J1130" s="103"/>
      <c r="K1130" s="103"/>
      <c r="L1130" s="88"/>
    </row>
    <row r="1131" spans="1:12" s="104" customFormat="1" ht="24" customHeight="1">
      <c r="A1131" s="203"/>
      <c r="B1131" s="264"/>
      <c r="C1131" s="193" t="s">
        <v>1396</v>
      </c>
      <c r="D1131" s="160"/>
      <c r="E1131" s="161"/>
      <c r="F1131" s="160"/>
      <c r="H1131" s="78"/>
      <c r="I1131" s="103"/>
      <c r="J1131" s="103"/>
      <c r="K1131" s="103"/>
      <c r="L1131" s="103"/>
    </row>
    <row r="1132" spans="1:12" s="104" customFormat="1" ht="24" customHeight="1">
      <c r="A1132" s="203"/>
      <c r="B1132" s="264"/>
      <c r="C1132" s="193" t="s">
        <v>1377</v>
      </c>
      <c r="D1132" s="160"/>
      <c r="E1132" s="161"/>
      <c r="F1132" s="160"/>
      <c r="H1132" s="78"/>
      <c r="I1132" s="103"/>
      <c r="J1132" s="103"/>
      <c r="K1132" s="103"/>
      <c r="L1132" s="103"/>
    </row>
    <row r="1133" spans="1:12" s="104" customFormat="1" ht="24" customHeight="1">
      <c r="A1133" s="203"/>
      <c r="B1133" s="326"/>
      <c r="C1133" s="160" t="s">
        <v>1350</v>
      </c>
      <c r="D1133" s="160"/>
      <c r="E1133" s="161"/>
      <c r="F1133" s="160"/>
      <c r="H1133" s="78"/>
      <c r="I1133" s="103"/>
      <c r="J1133" s="103"/>
      <c r="K1133" s="103"/>
      <c r="L1133" s="103"/>
    </row>
    <row r="1134" spans="1:12" s="104" customFormat="1" ht="24" customHeight="1">
      <c r="A1134" s="206"/>
      <c r="B1134" s="329"/>
      <c r="C1134" s="165"/>
      <c r="D1134" s="165"/>
      <c r="E1134" s="166"/>
      <c r="F1134" s="165"/>
    </row>
    <row r="1135" spans="1:12" s="104" customFormat="1" ht="24" customHeight="1">
      <c r="A1135" s="199">
        <v>2</v>
      </c>
      <c r="B1135" s="342" t="s">
        <v>1233</v>
      </c>
      <c r="C1135" s="196" t="s">
        <v>1236</v>
      </c>
      <c r="D1135" s="196" t="s">
        <v>1235</v>
      </c>
      <c r="E1135" s="201">
        <v>400000</v>
      </c>
      <c r="F1135" s="197" t="s">
        <v>398</v>
      </c>
    </row>
    <row r="1136" spans="1:12" s="104" customFormat="1" ht="24" customHeight="1">
      <c r="A1136" s="203"/>
      <c r="B1136" s="343" t="s">
        <v>1234</v>
      </c>
      <c r="C1136" s="175" t="s">
        <v>1237</v>
      </c>
      <c r="D1136" s="175" t="s">
        <v>183</v>
      </c>
      <c r="E1136" s="161"/>
      <c r="F1136" s="160" t="s">
        <v>618</v>
      </c>
      <c r="H1136" s="336"/>
      <c r="I1136" s="336"/>
    </row>
    <row r="1137" spans="1:16" s="104" customFormat="1" ht="24" customHeight="1">
      <c r="A1137" s="203"/>
      <c r="B1137" s="333"/>
      <c r="C1137" s="175" t="s">
        <v>1238</v>
      </c>
      <c r="D1137" s="175"/>
      <c r="E1137" s="161"/>
      <c r="F1137" s="175"/>
      <c r="H1137" s="78"/>
      <c r="I1137" s="282"/>
    </row>
    <row r="1138" spans="1:16" s="104" customFormat="1" ht="24" customHeight="1">
      <c r="A1138" s="203"/>
      <c r="B1138" s="333"/>
      <c r="C1138" s="217" t="s">
        <v>1239</v>
      </c>
      <c r="D1138" s="175"/>
      <c r="E1138" s="161"/>
      <c r="F1138" s="175"/>
    </row>
    <row r="1139" spans="1:16" s="104" customFormat="1" ht="24" customHeight="1">
      <c r="A1139" s="226"/>
      <c r="B1139" s="333"/>
      <c r="C1139" s="217" t="s">
        <v>1397</v>
      </c>
      <c r="D1139" s="175"/>
      <c r="E1139" s="161"/>
      <c r="F1139" s="175"/>
      <c r="H1139" s="90"/>
      <c r="I1139" s="103"/>
      <c r="J1139" s="103"/>
      <c r="K1139" s="103"/>
    </row>
    <row r="1140" spans="1:16" s="104" customFormat="1" ht="24" customHeight="1">
      <c r="A1140" s="158"/>
      <c r="B1140" s="333"/>
      <c r="C1140" s="217" t="s">
        <v>247</v>
      </c>
      <c r="D1140" s="175"/>
      <c r="E1140" s="202"/>
      <c r="F1140" s="175"/>
      <c r="H1140" s="88" t="s">
        <v>276</v>
      </c>
      <c r="I1140" s="103"/>
      <c r="J1140" s="103"/>
      <c r="K1140" s="88"/>
    </row>
    <row r="1141" spans="1:16" s="104" customFormat="1" ht="24" customHeight="1">
      <c r="A1141" s="163"/>
      <c r="B1141" s="334"/>
      <c r="C1141" s="181"/>
      <c r="D1141" s="181"/>
      <c r="E1141" s="213"/>
      <c r="F1141" s="181"/>
      <c r="H1141" s="78"/>
      <c r="I1141" s="103"/>
      <c r="J1141" s="103"/>
      <c r="K1141" s="103"/>
    </row>
    <row r="1142" spans="1:16" s="104" customFormat="1" ht="24" customHeight="1">
      <c r="A1142" s="199">
        <v>3</v>
      </c>
      <c r="B1142" s="342" t="s">
        <v>1225</v>
      </c>
      <c r="C1142" s="196" t="s">
        <v>1244</v>
      </c>
      <c r="D1142" s="196" t="s">
        <v>1242</v>
      </c>
      <c r="E1142" s="277">
        <v>1400000</v>
      </c>
      <c r="F1142" s="197" t="s">
        <v>398</v>
      </c>
      <c r="H1142" s="336"/>
      <c r="I1142" s="282"/>
      <c r="J1142" s="282"/>
      <c r="K1142" s="282"/>
      <c r="L1142" s="282"/>
      <c r="M1142" s="282"/>
      <c r="N1142" s="282"/>
      <c r="O1142" s="282"/>
      <c r="P1142" s="336" t="s">
        <v>1398</v>
      </c>
    </row>
    <row r="1143" spans="1:16" s="104" customFormat="1" ht="24" customHeight="1">
      <c r="A1143" s="158"/>
      <c r="B1143" s="343" t="s">
        <v>1240</v>
      </c>
      <c r="C1143" s="175" t="s">
        <v>1245</v>
      </c>
      <c r="D1143" s="175" t="s">
        <v>1243</v>
      </c>
      <c r="E1143" s="202"/>
      <c r="F1143" s="160" t="s">
        <v>618</v>
      </c>
      <c r="I1143" s="282"/>
      <c r="J1143" s="282"/>
      <c r="K1143" s="282"/>
      <c r="L1143" s="282"/>
      <c r="M1143" s="282"/>
      <c r="N1143" s="282"/>
      <c r="O1143" s="282"/>
      <c r="P1143" s="282"/>
    </row>
    <row r="1144" spans="1:16" s="104" customFormat="1" ht="24" customHeight="1">
      <c r="A1144" s="158"/>
      <c r="B1144" s="343" t="s">
        <v>1241</v>
      </c>
      <c r="C1144" s="175" t="s">
        <v>1246</v>
      </c>
      <c r="D1144" s="175" t="s">
        <v>1241</v>
      </c>
      <c r="E1144" s="202"/>
      <c r="F1144" s="175"/>
    </row>
    <row r="1145" spans="1:16" s="104" customFormat="1" ht="24" customHeight="1">
      <c r="A1145" s="248"/>
      <c r="B1145" s="344"/>
      <c r="C1145" s="231" t="s">
        <v>1378</v>
      </c>
      <c r="D1145" s="231" t="s">
        <v>202</v>
      </c>
      <c r="E1145" s="250"/>
      <c r="F1145" s="231"/>
    </row>
    <row r="1146" spans="1:16" s="104" customFormat="1" ht="24" customHeight="1">
      <c r="A1146" s="163"/>
      <c r="B1146" s="334"/>
      <c r="C1146" s="181" t="s">
        <v>247</v>
      </c>
      <c r="D1146" s="181"/>
      <c r="E1146" s="213"/>
      <c r="F1146" s="181"/>
    </row>
    <row r="1147" spans="1:16" s="52" customFormat="1" ht="24" customHeight="1">
      <c r="A1147" s="80"/>
      <c r="B1147" s="89"/>
      <c r="C1147" s="51"/>
      <c r="D1147" s="51"/>
      <c r="E1147" s="131"/>
    </row>
    <row r="1148" spans="1:16" s="104" customFormat="1" ht="24" customHeight="1">
      <c r="A1148" s="379" t="s">
        <v>1137</v>
      </c>
      <c r="B1148" s="379"/>
      <c r="C1148" s="379"/>
      <c r="D1148" s="379"/>
      <c r="E1148" s="379"/>
      <c r="F1148" s="379"/>
    </row>
    <row r="1149" spans="1:16" s="104" customFormat="1" ht="24" customHeight="1">
      <c r="A1149" s="70"/>
      <c r="B1149" s="70" t="s">
        <v>276</v>
      </c>
      <c r="C1149" s="70"/>
      <c r="D1149" s="70"/>
      <c r="E1149" s="136"/>
      <c r="F1149" s="72"/>
    </row>
    <row r="1150" spans="1:16" s="104" customFormat="1" ht="24" customHeight="1">
      <c r="A1150" s="40" t="s">
        <v>41</v>
      </c>
      <c r="B1150" s="40" t="s">
        <v>619</v>
      </c>
      <c r="C1150" s="40" t="s">
        <v>620</v>
      </c>
      <c r="D1150" s="40" t="s">
        <v>605</v>
      </c>
      <c r="E1150" s="137" t="s">
        <v>31</v>
      </c>
      <c r="F1150" s="40" t="s">
        <v>396</v>
      </c>
    </row>
    <row r="1151" spans="1:16" s="104" customFormat="1" ht="24" customHeight="1">
      <c r="A1151" s="41" t="s">
        <v>40</v>
      </c>
      <c r="B1151" s="41"/>
      <c r="C1151" s="41"/>
      <c r="D1151" s="41" t="s">
        <v>606</v>
      </c>
      <c r="E1151" s="129"/>
      <c r="F1151" s="42"/>
      <c r="H1151" s="54"/>
    </row>
    <row r="1152" spans="1:16" s="104" customFormat="1" ht="24" customHeight="1">
      <c r="A1152" s="190">
        <v>4</v>
      </c>
      <c r="B1152" s="345" t="s">
        <v>1247</v>
      </c>
      <c r="C1152" s="252" t="s">
        <v>1249</v>
      </c>
      <c r="D1152" s="155" t="s">
        <v>1252</v>
      </c>
      <c r="E1152" s="156">
        <v>1200000</v>
      </c>
      <c r="F1152" s="197" t="s">
        <v>398</v>
      </c>
      <c r="H1152" s="336"/>
      <c r="I1152" s="282"/>
      <c r="J1152" s="336"/>
    </row>
    <row r="1153" spans="1:17" s="104" customFormat="1" ht="24" customHeight="1">
      <c r="A1153" s="203"/>
      <c r="B1153" s="346" t="s">
        <v>1248</v>
      </c>
      <c r="C1153" s="193" t="s">
        <v>1250</v>
      </c>
      <c r="D1153" s="231" t="s">
        <v>202</v>
      </c>
      <c r="E1153" s="161"/>
      <c r="F1153" s="160" t="s">
        <v>618</v>
      </c>
      <c r="I1153" s="282"/>
      <c r="J1153" s="282"/>
      <c r="K1153" s="103"/>
      <c r="L1153" s="86"/>
    </row>
    <row r="1154" spans="1:17" s="104" customFormat="1" ht="24" customHeight="1">
      <c r="A1154" s="203"/>
      <c r="B1154" s="264"/>
      <c r="C1154" s="193" t="s">
        <v>1251</v>
      </c>
      <c r="D1154" s="160"/>
      <c r="E1154" s="161"/>
      <c r="F1154" s="160"/>
      <c r="H1154" s="78"/>
      <c r="I1154" s="103"/>
      <c r="J1154" s="103"/>
      <c r="K1154" s="103"/>
      <c r="L1154" s="103"/>
    </row>
    <row r="1155" spans="1:17" s="104" customFormat="1" ht="24" customHeight="1">
      <c r="A1155" s="203"/>
      <c r="B1155" s="264"/>
      <c r="C1155" s="160" t="s">
        <v>1429</v>
      </c>
      <c r="D1155" s="160"/>
      <c r="E1155" s="161"/>
      <c r="F1155" s="160"/>
      <c r="H1155" s="78"/>
      <c r="I1155" s="103"/>
      <c r="J1155" s="103"/>
      <c r="K1155" s="103"/>
      <c r="L1155" s="103"/>
    </row>
    <row r="1156" spans="1:17" s="104" customFormat="1" ht="24" customHeight="1">
      <c r="A1156" s="203"/>
      <c r="B1156" s="326"/>
      <c r="C1156" s="160" t="s">
        <v>389</v>
      </c>
      <c r="D1156" s="160"/>
      <c r="E1156" s="161"/>
      <c r="F1156" s="160"/>
      <c r="H1156" s="78"/>
      <c r="I1156" s="103"/>
      <c r="J1156" s="103"/>
      <c r="K1156" s="103"/>
      <c r="L1156" s="103"/>
    </row>
    <row r="1157" spans="1:17" s="104" customFormat="1" ht="24" customHeight="1">
      <c r="A1157" s="206"/>
      <c r="B1157" s="329"/>
      <c r="C1157" s="165"/>
      <c r="D1157" s="165"/>
      <c r="E1157" s="166"/>
      <c r="F1157" s="165"/>
    </row>
    <row r="1158" spans="1:17" s="104" customFormat="1" ht="24" customHeight="1">
      <c r="A1158" s="199">
        <v>5</v>
      </c>
      <c r="B1158" s="342" t="s">
        <v>1253</v>
      </c>
      <c r="C1158" s="196" t="s">
        <v>394</v>
      </c>
      <c r="D1158" s="196" t="s">
        <v>1243</v>
      </c>
      <c r="E1158" s="201">
        <v>1500000</v>
      </c>
      <c r="F1158" s="197" t="s">
        <v>398</v>
      </c>
      <c r="H1158" s="336"/>
      <c r="I1158" s="282"/>
      <c r="J1158" s="282"/>
      <c r="K1158" s="282"/>
      <c r="L1158" s="282"/>
      <c r="M1158" s="282"/>
      <c r="N1158" s="282"/>
      <c r="O1158" s="282"/>
      <c r="P1158" s="282"/>
      <c r="Q1158" s="336" t="s">
        <v>1430</v>
      </c>
    </row>
    <row r="1159" spans="1:17" s="104" customFormat="1" ht="24" customHeight="1">
      <c r="A1159" s="192"/>
      <c r="B1159" s="343" t="s">
        <v>1254</v>
      </c>
      <c r="C1159" s="175" t="s">
        <v>1399</v>
      </c>
      <c r="D1159" s="175" t="s">
        <v>1255</v>
      </c>
      <c r="E1159" s="161"/>
      <c r="F1159" s="160" t="s">
        <v>618</v>
      </c>
      <c r="H1159" s="78"/>
      <c r="I1159" s="282"/>
      <c r="J1159" s="282"/>
      <c r="K1159" s="282"/>
      <c r="L1159" s="282"/>
      <c r="M1159" s="282"/>
      <c r="N1159" s="282"/>
      <c r="O1159" s="282"/>
      <c r="P1159" s="282"/>
      <c r="Q1159" s="282"/>
    </row>
    <row r="1160" spans="1:17" s="104" customFormat="1" ht="24" customHeight="1">
      <c r="A1160" s="192"/>
      <c r="B1160" s="343" t="s">
        <v>1255</v>
      </c>
      <c r="C1160" s="175" t="s">
        <v>1477</v>
      </c>
      <c r="D1160" s="231" t="s">
        <v>202</v>
      </c>
      <c r="E1160" s="161"/>
      <c r="F1160" s="160"/>
      <c r="H1160" s="78"/>
      <c r="I1160" s="282"/>
      <c r="J1160" s="282"/>
      <c r="K1160" s="282"/>
      <c r="L1160" s="282"/>
      <c r="M1160" s="282"/>
      <c r="N1160" s="282"/>
      <c r="O1160" s="282"/>
      <c r="P1160" s="282"/>
      <c r="Q1160" s="282"/>
    </row>
    <row r="1161" spans="1:17" s="104" customFormat="1" ht="24" customHeight="1">
      <c r="A1161" s="347"/>
      <c r="B1161" s="333"/>
      <c r="C1161" s="175" t="s">
        <v>1351</v>
      </c>
      <c r="D1161" s="175"/>
      <c r="E1161" s="161"/>
      <c r="F1161" s="160"/>
      <c r="H1161" s="87"/>
      <c r="I1161" s="103"/>
      <c r="J1161" s="103"/>
      <c r="K1161" s="103"/>
      <c r="L1161" s="103"/>
    </row>
    <row r="1162" spans="1:17" s="104" customFormat="1" ht="24" customHeight="1">
      <c r="A1162" s="192"/>
      <c r="B1162" s="333"/>
      <c r="C1162" s="217" t="s">
        <v>350</v>
      </c>
      <c r="D1162" s="175"/>
      <c r="E1162" s="161"/>
      <c r="F1162" s="160"/>
      <c r="H1162" s="88"/>
      <c r="I1162" s="103"/>
      <c r="J1162" s="103"/>
      <c r="K1162" s="103"/>
      <c r="L1162" s="88"/>
    </row>
    <row r="1163" spans="1:17" s="104" customFormat="1" ht="24" customHeight="1">
      <c r="A1163" s="164"/>
      <c r="B1163" s="334"/>
      <c r="C1163" s="221"/>
      <c r="D1163" s="181"/>
      <c r="E1163" s="166"/>
      <c r="F1163" s="165"/>
      <c r="H1163" s="78"/>
      <c r="I1163" s="103"/>
      <c r="J1163" s="103"/>
      <c r="K1163" s="103"/>
      <c r="L1163" s="103"/>
    </row>
    <row r="1164" spans="1:17" s="104" customFormat="1" ht="24" customHeight="1">
      <c r="A1164" s="199">
        <v>6</v>
      </c>
      <c r="B1164" s="342" t="s">
        <v>584</v>
      </c>
      <c r="C1164" s="220" t="s">
        <v>1257</v>
      </c>
      <c r="D1164" s="196" t="s">
        <v>1258</v>
      </c>
      <c r="E1164" s="201">
        <v>3000000</v>
      </c>
      <c r="F1164" s="197" t="s">
        <v>398</v>
      </c>
      <c r="I1164" s="282"/>
      <c r="J1164" s="282"/>
      <c r="K1164" s="282"/>
      <c r="L1164" s="282"/>
      <c r="M1164" s="282"/>
      <c r="N1164" s="282"/>
      <c r="O1164" s="282"/>
    </row>
    <row r="1165" spans="1:17" s="104" customFormat="1" ht="24" customHeight="1">
      <c r="A1165" s="192"/>
      <c r="B1165" s="343" t="s">
        <v>1256</v>
      </c>
      <c r="C1165" s="175" t="s">
        <v>1431</v>
      </c>
      <c r="D1165" s="175" t="s">
        <v>1259</v>
      </c>
      <c r="E1165" s="161"/>
      <c r="F1165" s="160" t="s">
        <v>618</v>
      </c>
      <c r="H1165" s="282"/>
      <c r="I1165" s="282"/>
      <c r="J1165" s="282"/>
      <c r="K1165" s="282"/>
      <c r="L1165" s="282"/>
      <c r="M1165" s="282"/>
      <c r="N1165" s="282"/>
      <c r="O1165" s="104" t="s">
        <v>1379</v>
      </c>
    </row>
    <row r="1166" spans="1:17" s="104" customFormat="1" ht="24" customHeight="1">
      <c r="A1166" s="192"/>
      <c r="B1166" s="343" t="s">
        <v>1242</v>
      </c>
      <c r="C1166" s="175" t="s">
        <v>1432</v>
      </c>
      <c r="D1166" s="231" t="s">
        <v>202</v>
      </c>
      <c r="E1166" s="161"/>
      <c r="F1166" s="160"/>
      <c r="H1166" s="78"/>
      <c r="I1166" s="282"/>
      <c r="J1166" s="282"/>
      <c r="K1166" s="282"/>
      <c r="L1166" s="282"/>
      <c r="M1166" s="282"/>
      <c r="N1166" s="282"/>
      <c r="O1166" s="282"/>
    </row>
    <row r="1167" spans="1:17" s="104" customFormat="1" ht="24" customHeight="1">
      <c r="A1167" s="192"/>
      <c r="B1167" s="333"/>
      <c r="C1167" s="175" t="s">
        <v>1352</v>
      </c>
      <c r="D1167" s="175"/>
      <c r="E1167" s="161"/>
      <c r="F1167" s="160"/>
    </row>
    <row r="1168" spans="1:17" s="104" customFormat="1" ht="24" customHeight="1">
      <c r="A1168" s="203"/>
      <c r="B1168" s="326"/>
      <c r="C1168" s="160" t="s">
        <v>391</v>
      </c>
      <c r="D1168" s="160"/>
      <c r="E1168" s="161"/>
      <c r="F1168" s="160"/>
    </row>
    <row r="1169" spans="1:17" s="104" customFormat="1" ht="24" customHeight="1">
      <c r="A1169" s="206"/>
      <c r="B1169" s="329"/>
      <c r="C1169" s="165"/>
      <c r="D1169" s="165"/>
      <c r="E1169" s="166"/>
      <c r="F1169" s="165"/>
    </row>
    <row r="1170" spans="1:17" s="104" customFormat="1" ht="24" customHeight="1">
      <c r="A1170" s="199">
        <v>7</v>
      </c>
      <c r="B1170" s="342" t="s">
        <v>1260</v>
      </c>
      <c r="C1170" s="220" t="s">
        <v>1262</v>
      </c>
      <c r="D1170" s="196" t="s">
        <v>1266</v>
      </c>
      <c r="E1170" s="201">
        <v>32000000</v>
      </c>
      <c r="F1170" s="197" t="s">
        <v>397</v>
      </c>
      <c r="H1170" s="85"/>
    </row>
    <row r="1171" spans="1:17" s="104" customFormat="1" ht="24" customHeight="1">
      <c r="A1171" s="226"/>
      <c r="B1171" s="343" t="s">
        <v>1261</v>
      </c>
      <c r="C1171" s="217" t="s">
        <v>1353</v>
      </c>
      <c r="D1171" s="175" t="s">
        <v>1319</v>
      </c>
      <c r="E1171" s="161"/>
      <c r="F1171" s="160"/>
      <c r="H1171" s="337"/>
      <c r="I1171" s="103"/>
      <c r="J1171" s="103"/>
      <c r="K1171" s="103"/>
    </row>
    <row r="1172" spans="1:17" s="104" customFormat="1" ht="24" customHeight="1">
      <c r="A1172" s="158"/>
      <c r="B1172" s="333"/>
      <c r="C1172" s="217" t="s">
        <v>1263</v>
      </c>
      <c r="D1172" s="175"/>
      <c r="E1172" s="202"/>
      <c r="F1172" s="160"/>
      <c r="H1172" s="78"/>
      <c r="I1172" s="103"/>
      <c r="J1172" s="103"/>
      <c r="K1172" s="88"/>
    </row>
    <row r="1173" spans="1:17" s="104" customFormat="1" ht="24" customHeight="1">
      <c r="A1173" s="158"/>
      <c r="B1173" s="333"/>
      <c r="C1173" s="175" t="s">
        <v>1400</v>
      </c>
      <c r="D1173" s="175"/>
      <c r="E1173" s="202"/>
      <c r="F1173" s="160"/>
      <c r="H1173" s="78"/>
      <c r="I1173" s="103"/>
      <c r="J1173" s="103"/>
      <c r="K1173" s="103"/>
    </row>
    <row r="1174" spans="1:17" s="104" customFormat="1" ht="24" customHeight="1">
      <c r="A1174" s="158"/>
      <c r="B1174" s="333"/>
      <c r="C1174" s="175" t="s">
        <v>1264</v>
      </c>
      <c r="D1174" s="175"/>
      <c r="E1174" s="202"/>
      <c r="F1174" s="160"/>
      <c r="H1174" s="78"/>
      <c r="I1174" s="103"/>
      <c r="J1174" s="103"/>
      <c r="K1174" s="103"/>
    </row>
    <row r="1175" spans="1:17" s="104" customFormat="1" ht="24" customHeight="1">
      <c r="A1175" s="158"/>
      <c r="B1175" s="333"/>
      <c r="C1175" s="175" t="s">
        <v>1265</v>
      </c>
      <c r="D1175" s="175"/>
      <c r="E1175" s="202"/>
      <c r="F1175" s="160"/>
      <c r="H1175" s="78"/>
      <c r="I1175" s="103"/>
      <c r="J1175" s="103"/>
      <c r="K1175" s="103"/>
    </row>
    <row r="1176" spans="1:17" s="104" customFormat="1" ht="24" customHeight="1">
      <c r="A1176" s="158"/>
      <c r="B1176" s="333"/>
      <c r="C1176" s="175" t="s">
        <v>1401</v>
      </c>
      <c r="D1176" s="175"/>
      <c r="E1176" s="202"/>
      <c r="F1176" s="160"/>
    </row>
    <row r="1177" spans="1:17" s="104" customFormat="1" ht="24" customHeight="1">
      <c r="A1177" s="163"/>
      <c r="B1177" s="334"/>
      <c r="C1177" s="181" t="s">
        <v>391</v>
      </c>
      <c r="D1177" s="181"/>
      <c r="E1177" s="213"/>
      <c r="F1177" s="165"/>
    </row>
    <row r="1178" spans="1:17" s="52" customFormat="1" ht="24" customHeight="1">
      <c r="A1178" s="80"/>
      <c r="B1178" s="89"/>
      <c r="C1178" s="51"/>
      <c r="D1178" s="51"/>
      <c r="E1178" s="131"/>
    </row>
    <row r="1179" spans="1:17" s="104" customFormat="1" ht="24" customHeight="1">
      <c r="A1179" s="379" t="s">
        <v>408</v>
      </c>
      <c r="B1179" s="379"/>
      <c r="C1179" s="379"/>
      <c r="D1179" s="379"/>
      <c r="E1179" s="379"/>
      <c r="F1179" s="379"/>
    </row>
    <row r="1180" spans="1:17" s="104" customFormat="1" ht="24" customHeight="1">
      <c r="A1180" s="70"/>
      <c r="B1180" s="70" t="s">
        <v>276</v>
      </c>
      <c r="C1180" s="70"/>
      <c r="D1180" s="70"/>
      <c r="E1180" s="136"/>
      <c r="F1180" s="72"/>
    </row>
    <row r="1181" spans="1:17" s="104" customFormat="1" ht="24" customHeight="1">
      <c r="A1181" s="40" t="s">
        <v>41</v>
      </c>
      <c r="B1181" s="40" t="s">
        <v>619</v>
      </c>
      <c r="C1181" s="40" t="s">
        <v>620</v>
      </c>
      <c r="D1181" s="40" t="s">
        <v>605</v>
      </c>
      <c r="E1181" s="137" t="s">
        <v>31</v>
      </c>
      <c r="F1181" s="40" t="s">
        <v>396</v>
      </c>
    </row>
    <row r="1182" spans="1:17" s="104" customFormat="1" ht="24" customHeight="1">
      <c r="A1182" s="41" t="s">
        <v>40</v>
      </c>
      <c r="B1182" s="41"/>
      <c r="C1182" s="41"/>
      <c r="D1182" s="41" t="s">
        <v>606</v>
      </c>
      <c r="E1182" s="129"/>
      <c r="F1182" s="42"/>
      <c r="I1182"/>
      <c r="J1182"/>
      <c r="K1182"/>
      <c r="L1182"/>
      <c r="M1182"/>
      <c r="N1182"/>
      <c r="O1182"/>
      <c r="P1182"/>
      <c r="Q1182"/>
    </row>
    <row r="1183" spans="1:17" s="104" customFormat="1" ht="24" customHeight="1">
      <c r="A1183" s="190">
        <v>8</v>
      </c>
      <c r="B1183" s="348" t="s">
        <v>1268</v>
      </c>
      <c r="C1183" s="252" t="s">
        <v>1270</v>
      </c>
      <c r="D1183" s="155" t="s">
        <v>1127</v>
      </c>
      <c r="E1183" s="156">
        <v>6000000</v>
      </c>
      <c r="F1183" s="197" t="s">
        <v>398</v>
      </c>
      <c r="H1183"/>
      <c r="I1183"/>
      <c r="J1183"/>
      <c r="K1183"/>
      <c r="L1183"/>
      <c r="M1183"/>
      <c r="N1183"/>
      <c r="O1183"/>
      <c r="P1183"/>
      <c r="Q1183" s="91" t="s">
        <v>1453</v>
      </c>
    </row>
    <row r="1184" spans="1:17" s="104" customFormat="1" ht="24" customHeight="1">
      <c r="A1184" s="203"/>
      <c r="B1184" s="333" t="s">
        <v>1269</v>
      </c>
      <c r="C1184" s="193" t="s">
        <v>1335</v>
      </c>
      <c r="D1184" s="160" t="s">
        <v>182</v>
      </c>
      <c r="E1184" s="161"/>
      <c r="F1184" s="160" t="s">
        <v>618</v>
      </c>
      <c r="H1184" s="78"/>
      <c r="I1184"/>
      <c r="J1184"/>
      <c r="K1184"/>
      <c r="L1184"/>
      <c r="M1184"/>
      <c r="N1184"/>
      <c r="O1184"/>
      <c r="P1184"/>
      <c r="Q1184"/>
    </row>
    <row r="1185" spans="1:17" s="104" customFormat="1" ht="24" customHeight="1">
      <c r="A1185" s="203"/>
      <c r="B1185" s="264" t="s">
        <v>1336</v>
      </c>
      <c r="C1185" s="193" t="s">
        <v>1271</v>
      </c>
      <c r="D1185" s="160" t="s">
        <v>564</v>
      </c>
      <c r="E1185" s="161"/>
      <c r="F1185" s="160"/>
      <c r="I1185"/>
      <c r="J1185"/>
      <c r="K1185"/>
      <c r="L1185"/>
      <c r="M1185"/>
      <c r="N1185"/>
      <c r="O1185"/>
      <c r="P1185"/>
      <c r="Q1185"/>
    </row>
    <row r="1186" spans="1:17" s="104" customFormat="1" ht="24" customHeight="1">
      <c r="A1186" s="203"/>
      <c r="B1186" s="264"/>
      <c r="C1186" s="160" t="s">
        <v>1272</v>
      </c>
      <c r="D1186" s="160" t="s">
        <v>37</v>
      </c>
      <c r="E1186" s="161"/>
      <c r="F1186" s="160"/>
      <c r="I1186"/>
      <c r="J1186"/>
      <c r="K1186"/>
      <c r="L1186"/>
      <c r="M1186"/>
      <c r="N1186"/>
      <c r="O1186"/>
      <c r="P1186"/>
      <c r="Q1186"/>
    </row>
    <row r="1187" spans="1:17" s="104" customFormat="1" ht="24" customHeight="1">
      <c r="A1187" s="203"/>
      <c r="B1187" s="326"/>
      <c r="C1187" s="160"/>
      <c r="D1187" s="160" t="s">
        <v>149</v>
      </c>
      <c r="E1187" s="161"/>
      <c r="F1187" s="160"/>
      <c r="J1187" s="103"/>
      <c r="K1187" s="103"/>
      <c r="L1187" s="103"/>
    </row>
    <row r="1188" spans="1:17" s="104" customFormat="1" ht="24" customHeight="1">
      <c r="A1188" s="206"/>
      <c r="B1188" s="329"/>
      <c r="C1188" s="165"/>
      <c r="D1188" s="165"/>
      <c r="E1188" s="166"/>
      <c r="F1188" s="165"/>
      <c r="H1188" s="78"/>
      <c r="I1188" s="282"/>
    </row>
    <row r="1189" spans="1:17" s="104" customFormat="1" ht="24" customHeight="1">
      <c r="A1189" s="199">
        <v>9</v>
      </c>
      <c r="B1189" s="332" t="s">
        <v>387</v>
      </c>
      <c r="C1189" s="349" t="s">
        <v>1274</v>
      </c>
      <c r="D1189" s="196" t="s">
        <v>393</v>
      </c>
      <c r="E1189" s="201">
        <v>4500000</v>
      </c>
      <c r="F1189" s="197" t="s">
        <v>1273</v>
      </c>
      <c r="H1189" s="78"/>
      <c r="I1189" s="282"/>
      <c r="J1189" s="282"/>
      <c r="K1189" s="282"/>
      <c r="L1189" s="282"/>
      <c r="M1189" s="282"/>
      <c r="N1189" s="282"/>
      <c r="O1189" s="282"/>
      <c r="P1189" s="282"/>
      <c r="Q1189" s="336" t="s">
        <v>1430</v>
      </c>
    </row>
    <row r="1190" spans="1:17" s="104" customFormat="1" ht="24" customHeight="1">
      <c r="A1190" s="192"/>
      <c r="B1190" s="343" t="s">
        <v>388</v>
      </c>
      <c r="C1190" s="175" t="s">
        <v>1275</v>
      </c>
      <c r="D1190" s="175" t="s">
        <v>182</v>
      </c>
      <c r="E1190" s="161"/>
      <c r="F1190" s="374">
        <v>255720</v>
      </c>
      <c r="H1190" s="78"/>
      <c r="I1190" s="282"/>
      <c r="J1190" s="282"/>
      <c r="K1190" s="282"/>
      <c r="L1190" s="282"/>
      <c r="M1190" s="282"/>
      <c r="N1190" s="282"/>
      <c r="O1190" s="282"/>
      <c r="P1190" s="282"/>
      <c r="Q1190" s="282"/>
    </row>
    <row r="1191" spans="1:17" s="104" customFormat="1" ht="24" customHeight="1">
      <c r="A1191" s="192"/>
      <c r="B1191" s="343"/>
      <c r="C1191" s="175" t="s">
        <v>1354</v>
      </c>
      <c r="D1191" s="175"/>
      <c r="E1191" s="161"/>
      <c r="F1191" s="197" t="s">
        <v>398</v>
      </c>
      <c r="H1191" s="78"/>
      <c r="I1191" s="282"/>
      <c r="J1191" s="282"/>
      <c r="K1191" s="282"/>
      <c r="L1191" s="282"/>
      <c r="M1191" s="282"/>
      <c r="N1191" s="282"/>
      <c r="O1191" s="282"/>
      <c r="P1191" s="282"/>
      <c r="Q1191" s="282"/>
    </row>
    <row r="1192" spans="1:17" s="104" customFormat="1" ht="24" customHeight="1">
      <c r="A1192" s="347"/>
      <c r="B1192" s="333"/>
      <c r="C1192" s="175" t="s">
        <v>1433</v>
      </c>
      <c r="D1192" s="175"/>
      <c r="E1192" s="161"/>
      <c r="F1192" s="160" t="s">
        <v>618</v>
      </c>
      <c r="H1192" s="87"/>
      <c r="I1192" s="103"/>
      <c r="J1192" s="103"/>
      <c r="K1192" s="103"/>
      <c r="L1192" s="103"/>
    </row>
    <row r="1193" spans="1:17" s="104" customFormat="1" ht="24" customHeight="1">
      <c r="A1193" s="192"/>
      <c r="B1193" s="333"/>
      <c r="C1193" s="217" t="s">
        <v>1276</v>
      </c>
      <c r="D1193" s="175"/>
      <c r="E1193" s="161"/>
      <c r="F1193" s="374">
        <v>4244280</v>
      </c>
      <c r="H1193" s="375"/>
      <c r="I1193" s="103"/>
      <c r="J1193" s="103"/>
      <c r="K1193" s="103"/>
      <c r="L1193" s="88"/>
    </row>
    <row r="1194" spans="1:17" s="104" customFormat="1" ht="24" customHeight="1">
      <c r="A1194" s="192"/>
      <c r="B1194" s="333"/>
      <c r="C1194" s="217" t="s">
        <v>1277</v>
      </c>
      <c r="D1194" s="175"/>
      <c r="E1194" s="161"/>
      <c r="F1194" s="160"/>
      <c r="H1194" s="376"/>
      <c r="I1194" s="103"/>
      <c r="J1194" s="103"/>
      <c r="K1194" s="103"/>
      <c r="L1194" s="103"/>
    </row>
    <row r="1195" spans="1:17" s="104" customFormat="1" ht="24" customHeight="1">
      <c r="A1195" s="226"/>
      <c r="B1195" s="343"/>
      <c r="C1195" s="217" t="s">
        <v>1278</v>
      </c>
      <c r="D1195" s="175"/>
      <c r="E1195" s="161"/>
      <c r="F1195" s="160"/>
      <c r="H1195" s="38"/>
      <c r="I1195" s="282"/>
      <c r="J1195" s="282"/>
      <c r="K1195" s="282"/>
      <c r="L1195" s="282"/>
      <c r="M1195" s="282"/>
      <c r="N1195" s="282"/>
      <c r="O1195" s="282"/>
    </row>
    <row r="1196" spans="1:17" s="104" customFormat="1" ht="24" customHeight="1">
      <c r="A1196" s="192"/>
      <c r="B1196" s="343"/>
      <c r="C1196" s="175" t="s">
        <v>1434</v>
      </c>
      <c r="D1196" s="175"/>
      <c r="E1196" s="161"/>
      <c r="F1196" s="160"/>
      <c r="H1196" s="282"/>
      <c r="I1196" s="282"/>
      <c r="J1196" s="282"/>
      <c r="K1196" s="282"/>
      <c r="L1196" s="282"/>
      <c r="M1196" s="282"/>
      <c r="N1196" s="282"/>
      <c r="O1196" s="104" t="s">
        <v>1379</v>
      </c>
    </row>
    <row r="1197" spans="1:17" s="104" customFormat="1" ht="24" customHeight="1">
      <c r="A1197" s="192"/>
      <c r="B1197" s="343"/>
      <c r="C1197" s="175" t="s">
        <v>391</v>
      </c>
      <c r="D1197" s="175"/>
      <c r="E1197" s="161"/>
      <c r="F1197" s="160"/>
      <c r="H1197" s="78"/>
      <c r="I1197" s="282"/>
      <c r="J1197" s="282"/>
      <c r="K1197" s="282"/>
      <c r="L1197" s="282"/>
      <c r="M1197" s="282"/>
      <c r="N1197" s="282"/>
      <c r="O1197" s="282"/>
    </row>
    <row r="1198" spans="1:17" s="104" customFormat="1" ht="24" customHeight="1">
      <c r="A1198" s="164"/>
      <c r="B1198" s="334"/>
      <c r="C1198" s="181"/>
      <c r="D1198" s="181"/>
      <c r="E1198" s="166"/>
      <c r="F1198" s="165"/>
    </row>
    <row r="1199" spans="1:17" s="104" customFormat="1" ht="24" customHeight="1">
      <c r="A1199" s="199">
        <v>10</v>
      </c>
      <c r="B1199" s="332" t="s">
        <v>1279</v>
      </c>
      <c r="C1199" s="196" t="s">
        <v>1281</v>
      </c>
      <c r="D1199" s="196" t="s">
        <v>1243</v>
      </c>
      <c r="E1199" s="201">
        <v>65000</v>
      </c>
      <c r="F1199" s="197" t="s">
        <v>398</v>
      </c>
      <c r="H1199" s="327"/>
      <c r="I1199" s="327"/>
    </row>
    <row r="1200" spans="1:17" s="104" customFormat="1" ht="24" customHeight="1">
      <c r="A1200" s="203"/>
      <c r="B1200" s="333" t="s">
        <v>1280</v>
      </c>
      <c r="C1200" s="175" t="s">
        <v>1355</v>
      </c>
      <c r="D1200" s="175" t="s">
        <v>1280</v>
      </c>
      <c r="E1200" s="161"/>
      <c r="F1200" s="160" t="s">
        <v>618</v>
      </c>
      <c r="H1200" s="78"/>
      <c r="I1200" s="282"/>
    </row>
    <row r="1201" spans="1:17" s="104" customFormat="1" ht="24" customHeight="1">
      <c r="A1201" s="226"/>
      <c r="B1201" s="343"/>
      <c r="C1201" s="217" t="s">
        <v>1282</v>
      </c>
      <c r="D1201" s="175" t="s">
        <v>183</v>
      </c>
      <c r="E1201" s="161"/>
      <c r="F1201" s="160"/>
      <c r="H1201" s="85"/>
    </row>
    <row r="1202" spans="1:17" s="104" customFormat="1" ht="24" customHeight="1">
      <c r="A1202" s="226"/>
      <c r="B1202" s="343"/>
      <c r="C1202" s="217" t="s">
        <v>350</v>
      </c>
      <c r="D1202" s="175"/>
      <c r="E1202" s="161"/>
      <c r="F1202" s="160"/>
      <c r="H1202" s="337"/>
      <c r="I1202" s="103"/>
      <c r="J1202" s="103"/>
      <c r="K1202" s="103"/>
    </row>
    <row r="1203" spans="1:17" s="104" customFormat="1" ht="24" customHeight="1">
      <c r="A1203" s="163"/>
      <c r="B1203" s="334"/>
      <c r="C1203" s="221"/>
      <c r="D1203" s="181"/>
      <c r="E1203" s="213"/>
      <c r="F1203" s="165"/>
      <c r="I1203" s="282"/>
      <c r="J1203" s="282"/>
      <c r="K1203" s="282"/>
      <c r="L1203" s="282"/>
      <c r="M1203" s="282"/>
      <c r="N1203" s="282"/>
      <c r="O1203" s="282"/>
      <c r="P1203" s="282"/>
      <c r="Q1203" s="282"/>
    </row>
    <row r="1204" spans="1:17" s="104" customFormat="1" ht="24" customHeight="1">
      <c r="A1204" s="199">
        <v>11</v>
      </c>
      <c r="B1204" s="332" t="s">
        <v>1283</v>
      </c>
      <c r="C1204" s="196" t="s">
        <v>1285</v>
      </c>
      <c r="D1204" s="196" t="s">
        <v>564</v>
      </c>
      <c r="E1204" s="277">
        <v>1000000</v>
      </c>
      <c r="F1204" s="197" t="s">
        <v>398</v>
      </c>
      <c r="H1204" s="282"/>
      <c r="I1204" s="282"/>
      <c r="J1204" s="282"/>
      <c r="K1204" s="282"/>
      <c r="L1204" s="282"/>
      <c r="M1204" s="282"/>
      <c r="N1204" s="282"/>
      <c r="O1204" s="282"/>
      <c r="P1204" s="282"/>
      <c r="Q1204" s="104" t="s">
        <v>1337</v>
      </c>
    </row>
    <row r="1205" spans="1:17" s="104" customFormat="1" ht="24" customHeight="1">
      <c r="A1205" s="158"/>
      <c r="B1205" s="333" t="s">
        <v>1284</v>
      </c>
      <c r="C1205" s="175" t="s">
        <v>1286</v>
      </c>
      <c r="D1205" s="175" t="s">
        <v>37</v>
      </c>
      <c r="E1205" s="202"/>
      <c r="F1205" s="160" t="s">
        <v>618</v>
      </c>
      <c r="H1205" s="78"/>
      <c r="I1205" s="282"/>
      <c r="J1205" s="282"/>
      <c r="K1205" s="282"/>
      <c r="L1205" s="282"/>
      <c r="M1205" s="282"/>
      <c r="N1205" s="282"/>
      <c r="O1205" s="282"/>
      <c r="P1205" s="282"/>
      <c r="Q1205" s="282"/>
    </row>
    <row r="1206" spans="1:17" s="104" customFormat="1" ht="24" customHeight="1">
      <c r="A1206" s="158"/>
      <c r="B1206" s="333"/>
      <c r="C1206" s="175" t="s">
        <v>1287</v>
      </c>
      <c r="D1206" s="175" t="s">
        <v>149</v>
      </c>
      <c r="E1206" s="202"/>
      <c r="F1206" s="160"/>
      <c r="H1206" s="78"/>
      <c r="I1206" s="282"/>
      <c r="J1206" s="282"/>
      <c r="K1206" s="282"/>
      <c r="L1206" s="282"/>
      <c r="M1206" s="282"/>
      <c r="N1206" s="282"/>
      <c r="O1206" s="282"/>
      <c r="P1206" s="282"/>
      <c r="Q1206" s="282"/>
    </row>
    <row r="1207" spans="1:17" s="104" customFormat="1" ht="24" customHeight="1">
      <c r="A1207" s="158"/>
      <c r="B1207" s="333"/>
      <c r="C1207" s="175" t="s">
        <v>1288</v>
      </c>
      <c r="D1207" s="175"/>
      <c r="E1207" s="202"/>
      <c r="F1207" s="160"/>
    </row>
    <row r="1208" spans="1:17" s="104" customFormat="1" ht="24" customHeight="1">
      <c r="A1208" s="163"/>
      <c r="B1208" s="334"/>
      <c r="C1208" s="181" t="s">
        <v>1289</v>
      </c>
      <c r="D1208" s="181"/>
      <c r="E1208" s="213"/>
      <c r="F1208" s="165"/>
    </row>
    <row r="1209" spans="1:17" s="52" customFormat="1" ht="24" customHeight="1">
      <c r="A1209" s="80"/>
      <c r="B1209" s="89"/>
      <c r="C1209" s="51"/>
      <c r="D1209" s="51"/>
      <c r="E1209" s="131"/>
    </row>
    <row r="1210" spans="1:17" s="104" customFormat="1" ht="24" customHeight="1">
      <c r="A1210" s="379" t="s">
        <v>1267</v>
      </c>
      <c r="B1210" s="379"/>
      <c r="C1210" s="379"/>
      <c r="D1210" s="379"/>
      <c r="E1210" s="379"/>
      <c r="F1210" s="379"/>
    </row>
    <row r="1211" spans="1:17" s="104" customFormat="1" ht="24" customHeight="1">
      <c r="A1211" s="40" t="s">
        <v>41</v>
      </c>
      <c r="B1211" s="40" t="s">
        <v>619</v>
      </c>
      <c r="C1211" s="40" t="s">
        <v>620</v>
      </c>
      <c r="D1211" s="40" t="s">
        <v>605</v>
      </c>
      <c r="E1211" s="137" t="s">
        <v>31</v>
      </c>
      <c r="F1211" s="40" t="s">
        <v>396</v>
      </c>
    </row>
    <row r="1212" spans="1:17" s="104" customFormat="1" ht="24" customHeight="1">
      <c r="A1212" s="41" t="s">
        <v>40</v>
      </c>
      <c r="B1212" s="41"/>
      <c r="C1212" s="41"/>
      <c r="D1212" s="41" t="s">
        <v>606</v>
      </c>
      <c r="E1212" s="129"/>
      <c r="F1212" s="42"/>
      <c r="H1212" s="54"/>
    </row>
    <row r="1213" spans="1:17" s="104" customFormat="1" ht="24" customHeight="1">
      <c r="A1213" s="190">
        <v>12</v>
      </c>
      <c r="B1213" s="262" t="s">
        <v>1290</v>
      </c>
      <c r="C1213" s="252" t="s">
        <v>1292</v>
      </c>
      <c r="D1213" s="196" t="s">
        <v>564</v>
      </c>
      <c r="E1213" s="156">
        <v>300000</v>
      </c>
      <c r="F1213" s="197" t="s">
        <v>398</v>
      </c>
      <c r="I1213" s="104" t="s">
        <v>312</v>
      </c>
      <c r="J1213" s="282"/>
      <c r="K1213" s="282"/>
      <c r="L1213" s="282"/>
      <c r="M1213" s="282"/>
      <c r="N1213" s="282"/>
      <c r="O1213" s="282"/>
      <c r="P1213" s="282"/>
      <c r="Q1213" s="282"/>
    </row>
    <row r="1214" spans="1:17" s="104" customFormat="1" ht="24" customHeight="1">
      <c r="A1214" s="203"/>
      <c r="B1214" s="346" t="s">
        <v>1291</v>
      </c>
      <c r="C1214" s="193" t="s">
        <v>1293</v>
      </c>
      <c r="D1214" s="175" t="s">
        <v>37</v>
      </c>
      <c r="E1214" s="161"/>
      <c r="F1214" s="160" t="s">
        <v>618</v>
      </c>
      <c r="H1214" s="104" t="s">
        <v>229</v>
      </c>
      <c r="I1214" s="282"/>
      <c r="J1214" s="282"/>
      <c r="K1214" s="282"/>
      <c r="L1214" s="282"/>
      <c r="M1214" s="282"/>
      <c r="N1214" s="282"/>
      <c r="O1214" s="282"/>
      <c r="P1214" s="282"/>
      <c r="Q1214" s="104" t="s">
        <v>1380</v>
      </c>
    </row>
    <row r="1215" spans="1:17" s="104" customFormat="1" ht="24" customHeight="1">
      <c r="A1215" s="203"/>
      <c r="B1215" s="264"/>
      <c r="C1215" s="193" t="s">
        <v>1294</v>
      </c>
      <c r="D1215" s="160" t="s">
        <v>149</v>
      </c>
      <c r="E1215" s="161"/>
      <c r="F1215" s="160"/>
      <c r="I1215" s="282"/>
      <c r="J1215" s="282"/>
      <c r="K1215" s="282"/>
      <c r="L1215" s="282"/>
      <c r="M1215" s="282"/>
      <c r="N1215" s="282"/>
      <c r="O1215" s="282"/>
      <c r="P1215" s="282"/>
      <c r="Q1215" s="282"/>
    </row>
    <row r="1216" spans="1:17" s="104" customFormat="1" ht="24" customHeight="1">
      <c r="A1216" s="203"/>
      <c r="B1216" s="264"/>
      <c r="C1216" s="160" t="s">
        <v>1295</v>
      </c>
      <c r="D1216" s="160"/>
      <c r="E1216" s="161"/>
      <c r="F1216" s="160"/>
      <c r="H1216" s="78"/>
      <c r="I1216" s="103"/>
      <c r="J1216" s="103"/>
      <c r="K1216" s="103"/>
      <c r="L1216" s="103"/>
    </row>
    <row r="1217" spans="1:17" s="104" customFormat="1" ht="24" customHeight="1">
      <c r="A1217" s="203"/>
      <c r="B1217" s="326"/>
      <c r="C1217" s="160" t="s">
        <v>1296</v>
      </c>
      <c r="D1217" s="160"/>
      <c r="E1217" s="161"/>
      <c r="F1217" s="160"/>
      <c r="H1217" s="78"/>
      <c r="I1217" s="103"/>
      <c r="J1217" s="103"/>
      <c r="K1217" s="103"/>
      <c r="L1217" s="103"/>
    </row>
    <row r="1218" spans="1:17" s="104" customFormat="1" ht="24" customHeight="1">
      <c r="A1218" s="203"/>
      <c r="B1218" s="326"/>
      <c r="C1218" s="160" t="s">
        <v>1297</v>
      </c>
      <c r="D1218" s="160"/>
      <c r="E1218" s="161"/>
      <c r="F1218" s="160"/>
    </row>
    <row r="1219" spans="1:17" s="104" customFormat="1" ht="24" customHeight="1">
      <c r="A1219" s="226"/>
      <c r="B1219" s="343"/>
      <c r="C1219" s="175" t="s">
        <v>1298</v>
      </c>
      <c r="D1219" s="175"/>
      <c r="E1219" s="161"/>
      <c r="F1219" s="160"/>
      <c r="H1219" s="336"/>
      <c r="I1219" s="282"/>
      <c r="J1219" s="282"/>
      <c r="K1219" s="282"/>
      <c r="L1219" s="282"/>
      <c r="M1219" s="282"/>
      <c r="N1219" s="282"/>
      <c r="O1219" s="282"/>
      <c r="P1219" s="282"/>
      <c r="Q1219" s="336" t="s">
        <v>1430</v>
      </c>
    </row>
    <row r="1220" spans="1:17" s="104" customFormat="1" ht="24" customHeight="1">
      <c r="A1220" s="168"/>
      <c r="B1220" s="382" t="s">
        <v>1299</v>
      </c>
      <c r="C1220" s="383"/>
      <c r="D1220" s="185"/>
      <c r="E1220" s="366">
        <f>SUM(E1221:E1226)</f>
        <v>3000000</v>
      </c>
      <c r="F1220" s="155"/>
      <c r="H1220" s="78"/>
      <c r="I1220" s="282"/>
      <c r="J1220" s="282"/>
      <c r="K1220" s="282"/>
      <c r="L1220" s="282"/>
      <c r="M1220" s="282"/>
      <c r="N1220" s="282"/>
      <c r="O1220" s="282"/>
      <c r="P1220" s="282"/>
      <c r="Q1220" s="282"/>
    </row>
    <row r="1221" spans="1:17" s="104" customFormat="1" ht="24" customHeight="1">
      <c r="A1221" s="226">
        <v>1</v>
      </c>
      <c r="B1221" s="333" t="s">
        <v>1300</v>
      </c>
      <c r="C1221" s="175" t="s">
        <v>1301</v>
      </c>
      <c r="D1221" s="175" t="s">
        <v>1304</v>
      </c>
      <c r="E1221" s="161">
        <v>3000000</v>
      </c>
      <c r="F1221" s="160" t="s">
        <v>398</v>
      </c>
      <c r="I1221"/>
      <c r="J1221"/>
      <c r="K1221" s="282"/>
      <c r="L1221" s="282"/>
      <c r="M1221" s="282"/>
      <c r="N1221" s="282"/>
      <c r="O1221" s="282"/>
      <c r="P1221" s="282"/>
      <c r="Q1221" s="282"/>
    </row>
    <row r="1222" spans="1:17" s="104" customFormat="1" ht="24" customHeight="1">
      <c r="A1222" s="347"/>
      <c r="B1222" s="333" t="s">
        <v>223</v>
      </c>
      <c r="C1222" s="175" t="s">
        <v>1302</v>
      </c>
      <c r="D1222" s="175" t="s">
        <v>37</v>
      </c>
      <c r="E1222" s="161"/>
      <c r="F1222" s="160" t="s">
        <v>618</v>
      </c>
      <c r="I1222"/>
      <c r="J1222" s="91"/>
      <c r="K1222" s="103"/>
      <c r="L1222" s="103"/>
    </row>
    <row r="1223" spans="1:17" s="104" customFormat="1" ht="24" customHeight="1">
      <c r="A1223" s="192"/>
      <c r="B1223" s="333"/>
      <c r="C1223" s="217" t="s">
        <v>1303</v>
      </c>
      <c r="D1223" s="175" t="s">
        <v>149</v>
      </c>
      <c r="E1223" s="161"/>
      <c r="F1223" s="160"/>
      <c r="I1223"/>
      <c r="J1223"/>
      <c r="K1223" s="103"/>
      <c r="L1223" s="88"/>
    </row>
    <row r="1224" spans="1:17" s="104" customFormat="1" ht="24" customHeight="1">
      <c r="A1224" s="192"/>
      <c r="B1224" s="333"/>
      <c r="C1224" s="217" t="s">
        <v>1492</v>
      </c>
      <c r="D1224" s="175"/>
      <c r="E1224" s="161"/>
      <c r="F1224" s="160"/>
      <c r="H1224" s="78"/>
      <c r="I1224" s="103"/>
      <c r="J1224" s="103"/>
      <c r="K1224" s="103"/>
      <c r="L1224" s="103"/>
    </row>
    <row r="1225" spans="1:17" s="104" customFormat="1" ht="24" customHeight="1">
      <c r="A1225" s="226"/>
      <c r="B1225" s="343"/>
      <c r="C1225" s="217" t="s">
        <v>391</v>
      </c>
      <c r="D1225" s="175"/>
      <c r="E1225" s="161"/>
      <c r="F1225" s="160"/>
      <c r="I1225" s="282"/>
      <c r="J1225" s="282"/>
      <c r="K1225" s="282"/>
      <c r="L1225" s="282"/>
      <c r="M1225" s="282"/>
      <c r="N1225" s="282"/>
      <c r="O1225" s="282"/>
    </row>
    <row r="1226" spans="1:17" s="104" customFormat="1" ht="24" customHeight="1">
      <c r="A1226" s="164"/>
      <c r="B1226" s="350"/>
      <c r="C1226" s="181"/>
      <c r="D1226" s="181"/>
      <c r="E1226" s="166"/>
      <c r="F1226" s="165"/>
      <c r="H1226" s="282"/>
      <c r="I1226" s="282"/>
      <c r="J1226" s="282"/>
      <c r="K1226" s="282"/>
      <c r="L1226" s="282"/>
      <c r="M1226" s="282"/>
      <c r="N1226" s="282"/>
      <c r="O1226" s="104" t="s">
        <v>1379</v>
      </c>
    </row>
    <row r="1227" spans="1:17" ht="24" customHeight="1">
      <c r="A1227" s="154"/>
      <c r="B1227" s="367" t="s">
        <v>19</v>
      </c>
      <c r="C1227" s="252"/>
      <c r="D1227" s="155"/>
      <c r="E1227" s="328">
        <f>SUM(E14,E117,E223,E253,E471,E643,E812)</f>
        <v>100740000</v>
      </c>
      <c r="F1227" s="157"/>
    </row>
    <row r="1228" spans="1:17" ht="24" customHeight="1">
      <c r="A1228" s="163"/>
      <c r="B1228" s="368" t="s">
        <v>20</v>
      </c>
      <c r="C1228" s="261"/>
      <c r="D1228" s="165"/>
      <c r="E1228" s="371"/>
      <c r="F1228" s="167"/>
    </row>
    <row r="1229" spans="1:17" ht="24" customHeight="1">
      <c r="A1229" s="285"/>
      <c r="B1229" s="370" t="s">
        <v>585</v>
      </c>
      <c r="C1229" s="197"/>
      <c r="D1229" s="197"/>
      <c r="E1229" s="357">
        <f>SUM(E97,E234,E361,E605,E783,E857)</f>
        <v>268040000</v>
      </c>
      <c r="F1229" s="286"/>
    </row>
    <row r="1230" spans="1:17" ht="24" customHeight="1">
      <c r="A1230" s="163"/>
      <c r="B1230" s="368" t="s">
        <v>586</v>
      </c>
      <c r="C1230" s="165"/>
      <c r="D1230" s="165"/>
      <c r="E1230" s="371"/>
      <c r="F1230" s="167"/>
    </row>
    <row r="1231" spans="1:17" ht="24" customHeight="1">
      <c r="A1231" s="285"/>
      <c r="B1231" s="370" t="s">
        <v>21</v>
      </c>
      <c r="C1231" s="372"/>
      <c r="D1231" s="286"/>
      <c r="E1231" s="373">
        <f>SUM(E1227:E1230)</f>
        <v>368780000</v>
      </c>
      <c r="F1231" s="286"/>
    </row>
    <row r="1232" spans="1:17" ht="24" customHeight="1">
      <c r="A1232" s="163"/>
      <c r="B1232" s="368" t="s">
        <v>22</v>
      </c>
      <c r="C1232" s="167"/>
      <c r="D1232" s="167"/>
      <c r="E1232" s="369"/>
      <c r="F1232" s="167"/>
    </row>
    <row r="1233" spans="1:6" ht="24" customHeight="1">
      <c r="A1233" s="321"/>
      <c r="B1233" s="93"/>
      <c r="C1233" s="56"/>
      <c r="D1233" s="56"/>
      <c r="E1233" s="134"/>
      <c r="F1233" s="57"/>
    </row>
    <row r="1234" spans="1:6" s="45" customFormat="1" ht="24" customHeight="1">
      <c r="A1234" s="377" t="s">
        <v>1305</v>
      </c>
      <c r="B1234" s="377"/>
      <c r="C1234" s="377"/>
      <c r="D1234" s="377"/>
      <c r="E1234" s="377"/>
      <c r="F1234" s="377"/>
    </row>
    <row r="1235" spans="1:6" s="45" customFormat="1" ht="24" customHeight="1">
      <c r="A1235" s="380" t="s">
        <v>587</v>
      </c>
      <c r="B1235" s="380"/>
      <c r="C1235" s="380"/>
      <c r="D1235" s="380"/>
      <c r="E1235" s="380"/>
      <c r="F1235" s="380"/>
    </row>
    <row r="1236" spans="1:6" s="45" customFormat="1" ht="24" customHeight="1">
      <c r="A1236" s="55"/>
      <c r="B1236" s="55"/>
      <c r="C1236" s="55"/>
      <c r="D1236" s="55"/>
      <c r="E1236" s="140"/>
    </row>
    <row r="1237" spans="1:6" s="45" customFormat="1" ht="24" customHeight="1">
      <c r="A1237" s="96" t="s">
        <v>229</v>
      </c>
      <c r="B1237" s="96"/>
      <c r="C1237" s="96"/>
      <c r="D1237" s="381" t="s">
        <v>1494</v>
      </c>
      <c r="E1237" s="381"/>
    </row>
    <row r="1238" spans="1:6" ht="24" customHeight="1">
      <c r="A1238" s="57"/>
      <c r="B1238" s="57"/>
      <c r="C1238" s="57"/>
      <c r="D1238" s="377" t="s">
        <v>1493</v>
      </c>
      <c r="E1238" s="377"/>
      <c r="F1238" s="104"/>
    </row>
    <row r="1239" spans="1:6" ht="24" customHeight="1">
      <c r="A1239" s="57"/>
      <c r="B1239" s="57"/>
      <c r="C1239" s="57"/>
      <c r="D1239" s="377" t="s">
        <v>56</v>
      </c>
      <c r="E1239" s="377"/>
      <c r="F1239" s="104"/>
    </row>
    <row r="1240" spans="1:6" ht="24" customHeight="1">
      <c r="A1240" s="57"/>
      <c r="B1240" s="57"/>
      <c r="C1240" s="57"/>
      <c r="D1240" s="57"/>
      <c r="E1240" s="135"/>
    </row>
    <row r="1241" spans="1:6" ht="24" customHeight="1">
      <c r="A1241" s="57"/>
      <c r="B1241" s="57"/>
      <c r="C1241" s="57"/>
      <c r="D1241" s="57"/>
      <c r="E1241" s="135"/>
    </row>
    <row r="1242" spans="1:6" ht="24" customHeight="1">
      <c r="A1242" s="57"/>
      <c r="B1242" s="57"/>
      <c r="C1242" s="57"/>
      <c r="D1242" s="57"/>
    </row>
    <row r="1243" spans="1:6" ht="24" customHeight="1">
      <c r="A1243" s="57"/>
      <c r="B1243" s="57"/>
      <c r="C1243" s="57"/>
      <c r="D1243" s="57"/>
      <c r="E1243" s="135"/>
    </row>
    <row r="1244" spans="1:6" ht="24" customHeight="1">
      <c r="A1244" s="57"/>
      <c r="B1244" s="57"/>
      <c r="C1244" s="57"/>
      <c r="D1244" s="57"/>
      <c r="E1244" s="135"/>
    </row>
    <row r="1245" spans="1:6" ht="24" customHeight="1">
      <c r="A1245" s="57"/>
      <c r="B1245" s="57"/>
      <c r="C1245" s="57"/>
      <c r="D1245" s="57"/>
      <c r="E1245" s="135"/>
    </row>
    <row r="1246" spans="1:6" ht="24" customHeight="1">
      <c r="A1246" s="57"/>
      <c r="B1246" s="57"/>
      <c r="C1246" s="57"/>
      <c r="D1246" s="57"/>
      <c r="E1246" s="135"/>
    </row>
    <row r="1247" spans="1:6" ht="24" customHeight="1">
      <c r="A1247" s="57"/>
      <c r="B1247" s="57"/>
      <c r="C1247" s="57"/>
      <c r="D1247" s="57"/>
      <c r="E1247" s="135"/>
    </row>
    <row r="1248" spans="1:6" ht="24" customHeight="1">
      <c r="A1248" s="57"/>
      <c r="B1248" s="57"/>
      <c r="C1248" s="57"/>
      <c r="D1248" s="57"/>
      <c r="E1248" s="135"/>
    </row>
    <row r="1249" spans="1:5" ht="24" customHeight="1">
      <c r="A1249" s="57"/>
      <c r="B1249" s="57"/>
      <c r="C1249" s="57"/>
      <c r="D1249" s="57"/>
      <c r="E1249" s="135"/>
    </row>
    <row r="1250" spans="1:5" ht="24" customHeight="1">
      <c r="A1250" s="57"/>
      <c r="B1250" s="57"/>
      <c r="C1250" s="57"/>
      <c r="D1250" s="57"/>
      <c r="E1250" s="135"/>
    </row>
    <row r="1251" spans="1:5" ht="24" customHeight="1">
      <c r="A1251" s="57"/>
      <c r="B1251" s="57"/>
      <c r="C1251" s="57"/>
      <c r="D1251" s="57"/>
      <c r="E1251" s="135"/>
    </row>
    <row r="1252" spans="1:5" ht="24" customHeight="1">
      <c r="A1252" s="57"/>
      <c r="B1252" s="57"/>
      <c r="C1252" s="57"/>
      <c r="D1252" s="57"/>
      <c r="E1252" s="135"/>
    </row>
    <row r="1253" spans="1:5" ht="24" customHeight="1">
      <c r="A1253" s="57"/>
      <c r="B1253" s="57"/>
      <c r="C1253" s="57"/>
      <c r="D1253" s="57"/>
      <c r="E1253" s="135"/>
    </row>
    <row r="1254" spans="1:5" ht="24" customHeight="1">
      <c r="A1254" s="57"/>
      <c r="B1254" s="57"/>
      <c r="C1254" s="57"/>
      <c r="D1254" s="57"/>
      <c r="E1254" s="135"/>
    </row>
    <row r="1255" spans="1:5" ht="24" customHeight="1">
      <c r="A1255" s="57"/>
      <c r="B1255" s="57"/>
      <c r="C1255" s="57"/>
      <c r="D1255" s="57"/>
      <c r="E1255" s="135"/>
    </row>
    <row r="1256" spans="1:5" ht="24" customHeight="1">
      <c r="A1256" s="57"/>
      <c r="B1256" s="57"/>
      <c r="C1256" s="57"/>
      <c r="D1256" s="57"/>
      <c r="E1256" s="135"/>
    </row>
    <row r="1257" spans="1:5" ht="24" customHeight="1">
      <c r="A1257" s="57"/>
      <c r="B1257" s="57"/>
      <c r="C1257" s="57"/>
      <c r="D1257" s="57"/>
      <c r="E1257" s="135"/>
    </row>
    <row r="1258" spans="1:5" ht="24" customHeight="1">
      <c r="A1258" s="57"/>
      <c r="B1258" s="57"/>
      <c r="C1258" s="57"/>
      <c r="D1258" s="57"/>
      <c r="E1258" s="135"/>
    </row>
    <row r="1259" spans="1:5" ht="24" customHeight="1">
      <c r="A1259" s="57"/>
      <c r="B1259" s="57"/>
      <c r="C1259" s="57"/>
      <c r="D1259" s="57"/>
      <c r="E1259" s="135"/>
    </row>
    <row r="1260" spans="1:5" ht="24" customHeight="1">
      <c r="A1260" s="57"/>
      <c r="B1260" s="57"/>
      <c r="C1260" s="57"/>
      <c r="D1260" s="57"/>
      <c r="E1260" s="135"/>
    </row>
    <row r="1261" spans="1:5" ht="24" customHeight="1">
      <c r="A1261" s="57"/>
      <c r="B1261" s="57"/>
      <c r="C1261" s="57"/>
      <c r="D1261" s="57"/>
      <c r="E1261" s="135"/>
    </row>
    <row r="1262" spans="1:5" ht="24" customHeight="1">
      <c r="A1262" s="57"/>
      <c r="B1262" s="57"/>
      <c r="C1262" s="57"/>
      <c r="D1262" s="57"/>
      <c r="E1262" s="135"/>
    </row>
    <row r="1263" spans="1:5" ht="24" customHeight="1">
      <c r="A1263" s="57"/>
      <c r="B1263" s="57"/>
      <c r="C1263" s="57"/>
      <c r="D1263" s="57"/>
      <c r="E1263" s="135"/>
    </row>
    <row r="1264" spans="1:5" ht="24" customHeight="1">
      <c r="A1264" s="57"/>
      <c r="B1264" s="57"/>
      <c r="C1264" s="57"/>
      <c r="D1264" s="57"/>
      <c r="E1264" s="135"/>
    </row>
    <row r="1265" spans="1:5" ht="24" customHeight="1">
      <c r="A1265" s="57"/>
      <c r="B1265" s="57"/>
      <c r="C1265" s="57"/>
      <c r="D1265" s="57"/>
      <c r="E1265" s="135"/>
    </row>
  </sheetData>
  <mergeCells count="53">
    <mergeCell ref="A1086:F1086"/>
    <mergeCell ref="A1117:F1117"/>
    <mergeCell ref="A1148:F1148"/>
    <mergeCell ref="A1179:F1179"/>
    <mergeCell ref="A187:F187"/>
    <mergeCell ref="A218:F218"/>
    <mergeCell ref="A652:F652"/>
    <mergeCell ref="A559:F559"/>
    <mergeCell ref="A900:F900"/>
    <mergeCell ref="A869:F869"/>
    <mergeCell ref="A838:F838"/>
    <mergeCell ref="A621:F621"/>
    <mergeCell ref="A249:F249"/>
    <mergeCell ref="A280:F280"/>
    <mergeCell ref="A962:F962"/>
    <mergeCell ref="A993:F993"/>
    <mergeCell ref="A1024:F1024"/>
    <mergeCell ref="A1055:F1055"/>
    <mergeCell ref="E1:F1"/>
    <mergeCell ref="A9:F9"/>
    <mergeCell ref="A2:F2"/>
    <mergeCell ref="A3:F3"/>
    <mergeCell ref="A4:F4"/>
    <mergeCell ref="A807:F807"/>
    <mergeCell ref="A776:F776"/>
    <mergeCell ref="A342:F342"/>
    <mergeCell ref="A343:F343"/>
    <mergeCell ref="A745:F745"/>
    <mergeCell ref="A683:F683"/>
    <mergeCell ref="A373:F373"/>
    <mergeCell ref="A435:F435"/>
    <mergeCell ref="A404:F404"/>
    <mergeCell ref="A311:F311"/>
    <mergeCell ref="A590:F590"/>
    <mergeCell ref="A32:F32"/>
    <mergeCell ref="A497:F497"/>
    <mergeCell ref="A714:F714"/>
    <mergeCell ref="D1239:E1239"/>
    <mergeCell ref="A6:F6"/>
    <mergeCell ref="A466:F466"/>
    <mergeCell ref="A156:F156"/>
    <mergeCell ref="D1238:E1238"/>
    <mergeCell ref="A1235:F1235"/>
    <mergeCell ref="A1234:F1234"/>
    <mergeCell ref="D1237:E1237"/>
    <mergeCell ref="A63:F63"/>
    <mergeCell ref="A125:F125"/>
    <mergeCell ref="A528:F528"/>
    <mergeCell ref="A94:F94"/>
    <mergeCell ref="A126:F126"/>
    <mergeCell ref="A1210:F1210"/>
    <mergeCell ref="B1220:C1220"/>
    <mergeCell ref="A931:F931"/>
  </mergeCells>
  <phoneticPr fontId="3" type="noConversion"/>
  <pageMargins left="0.39370078740157483" right="0.11811023622047245" top="0.78740157480314965" bottom="0.78740157480314965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I272"/>
  <sheetViews>
    <sheetView workbookViewId="0">
      <selection activeCell="I31" sqref="I31"/>
    </sheetView>
  </sheetViews>
  <sheetFormatPr defaultRowHeight="23.1" customHeight="1"/>
  <cols>
    <col min="1" max="1" width="5.85546875" customWidth="1"/>
    <col min="2" max="2" width="40.85546875" customWidth="1"/>
    <col min="3" max="3" width="26.140625" customWidth="1"/>
    <col min="4" max="4" width="23.140625" customWidth="1"/>
    <col min="5" max="5" width="14" style="125" customWidth="1"/>
    <col min="7" max="7" width="10.140625" bestFit="1" customWidth="1"/>
    <col min="9" max="9" width="15.140625" bestFit="1" customWidth="1"/>
  </cols>
  <sheetData>
    <row r="1" spans="1:9" s="1" customFormat="1" ht="23.1" customHeight="1">
      <c r="A1" s="388" t="s">
        <v>460</v>
      </c>
      <c r="B1" s="388"/>
      <c r="C1" s="388"/>
      <c r="D1" s="388"/>
      <c r="E1" s="388"/>
    </row>
    <row r="2" spans="1:9" s="1" customFormat="1" ht="23.1" customHeight="1">
      <c r="A2" s="388" t="s">
        <v>222</v>
      </c>
      <c r="B2" s="388"/>
      <c r="C2" s="388"/>
      <c r="D2" s="388"/>
      <c r="E2" s="388"/>
    </row>
    <row r="3" spans="1:9" s="1" customFormat="1" ht="23.1" customHeight="1">
      <c r="A3" s="388"/>
      <c r="B3" s="388"/>
      <c r="C3" s="388"/>
      <c r="D3" s="388"/>
      <c r="E3" s="388"/>
    </row>
    <row r="4" spans="1:9" s="1" customFormat="1" ht="23.1" customHeight="1">
      <c r="A4" s="9" t="s">
        <v>41</v>
      </c>
      <c r="B4" s="9" t="s">
        <v>28</v>
      </c>
      <c r="C4" s="9" t="s">
        <v>29</v>
      </c>
      <c r="D4" s="9" t="s">
        <v>30</v>
      </c>
      <c r="E4" s="106" t="s">
        <v>31</v>
      </c>
    </row>
    <row r="5" spans="1:9" s="1" customFormat="1" ht="23.1" customHeight="1">
      <c r="A5" s="10" t="s">
        <v>40</v>
      </c>
      <c r="B5" s="10"/>
      <c r="C5" s="10"/>
      <c r="D5" s="10"/>
      <c r="E5" s="107"/>
    </row>
    <row r="6" spans="1:9" s="1" customFormat="1" ht="23.1" customHeight="1">
      <c r="A6" s="101">
        <v>1</v>
      </c>
      <c r="B6" s="16" t="s">
        <v>208</v>
      </c>
      <c r="C6" s="16" t="s">
        <v>209</v>
      </c>
      <c r="D6" s="16" t="s">
        <v>151</v>
      </c>
      <c r="E6" s="108">
        <v>15700000</v>
      </c>
    </row>
    <row r="7" spans="1:9" s="1" customFormat="1" ht="23.1" customHeight="1">
      <c r="A7" s="31"/>
      <c r="B7" s="31"/>
      <c r="C7" s="16" t="s">
        <v>448</v>
      </c>
      <c r="D7" s="16" t="s">
        <v>220</v>
      </c>
      <c r="E7" s="108"/>
    </row>
    <row r="8" spans="1:9" s="1" customFormat="1" ht="23.1" customHeight="1">
      <c r="A8" s="31"/>
      <c r="B8" s="31"/>
      <c r="C8" s="16" t="s">
        <v>409</v>
      </c>
      <c r="D8" s="16"/>
      <c r="E8" s="108"/>
      <c r="I8" s="126"/>
    </row>
    <row r="9" spans="1:9" s="1" customFormat="1" ht="23.1" customHeight="1">
      <c r="A9" s="101">
        <v>2</v>
      </c>
      <c r="B9" s="16" t="s">
        <v>210</v>
      </c>
      <c r="C9" s="16" t="s">
        <v>211</v>
      </c>
      <c r="D9" s="16" t="s">
        <v>174</v>
      </c>
      <c r="E9" s="109">
        <v>20000000</v>
      </c>
      <c r="I9" s="126"/>
    </row>
    <row r="10" spans="1:9" s="1" customFormat="1" ht="23.1" customHeight="1">
      <c r="A10" s="7"/>
      <c r="B10" s="16"/>
      <c r="C10" s="16" t="s">
        <v>461</v>
      </c>
      <c r="D10" s="16" t="s">
        <v>218</v>
      </c>
      <c r="E10" s="108"/>
    </row>
    <row r="11" spans="1:9" s="1" customFormat="1" ht="23.1" customHeight="1">
      <c r="A11" s="7"/>
      <c r="B11" s="16"/>
      <c r="C11" s="16"/>
      <c r="D11" s="16" t="s">
        <v>219</v>
      </c>
      <c r="E11" s="108"/>
    </row>
    <row r="12" spans="1:9" s="1" customFormat="1" ht="23.1" customHeight="1">
      <c r="A12" s="7"/>
      <c r="B12" s="16"/>
      <c r="C12" s="16"/>
      <c r="D12" s="16" t="s">
        <v>212</v>
      </c>
      <c r="E12" s="108"/>
      <c r="I12" s="126"/>
    </row>
    <row r="13" spans="1:9" s="1" customFormat="1" ht="23.1" customHeight="1">
      <c r="A13" s="101">
        <v>3</v>
      </c>
      <c r="B13" s="16" t="s">
        <v>213</v>
      </c>
      <c r="C13" s="16" t="s">
        <v>214</v>
      </c>
      <c r="D13" s="16" t="s">
        <v>151</v>
      </c>
      <c r="E13" s="108">
        <v>7500000</v>
      </c>
    </row>
    <row r="14" spans="1:9" s="1" customFormat="1" ht="23.1" customHeight="1">
      <c r="A14" s="7"/>
      <c r="B14" s="16"/>
      <c r="C14" s="16" t="s">
        <v>462</v>
      </c>
      <c r="D14" s="16" t="s">
        <v>220</v>
      </c>
      <c r="E14" s="108"/>
    </row>
    <row r="15" spans="1:9" s="1" customFormat="1" ht="23.1" customHeight="1">
      <c r="A15" s="7"/>
      <c r="B15" s="16"/>
      <c r="C15" s="16" t="s">
        <v>215</v>
      </c>
      <c r="D15" s="16" t="s">
        <v>151</v>
      </c>
      <c r="E15" s="108">
        <v>19600000</v>
      </c>
    </row>
    <row r="16" spans="1:9" s="1" customFormat="1" ht="23.1" customHeight="1">
      <c r="A16" s="7"/>
      <c r="B16" s="16"/>
      <c r="C16" s="16" t="s">
        <v>216</v>
      </c>
      <c r="D16" s="16" t="s">
        <v>220</v>
      </c>
      <c r="E16" s="110"/>
    </row>
    <row r="17" spans="1:8" s="1" customFormat="1" ht="23.1" customHeight="1">
      <c r="A17" s="7"/>
      <c r="B17" s="16"/>
      <c r="C17" s="16" t="s">
        <v>217</v>
      </c>
      <c r="D17" s="16"/>
      <c r="E17" s="110"/>
    </row>
    <row r="18" spans="1:8" s="1" customFormat="1" ht="23.1" customHeight="1">
      <c r="A18" s="7"/>
      <c r="B18" s="16"/>
      <c r="C18" s="16" t="s">
        <v>422</v>
      </c>
      <c r="D18" s="16"/>
      <c r="E18" s="110"/>
    </row>
    <row r="19" spans="1:8" s="1" customFormat="1" ht="23.1" customHeight="1">
      <c r="A19" s="100">
        <v>4</v>
      </c>
      <c r="B19" s="5" t="s">
        <v>165</v>
      </c>
      <c r="C19" s="6"/>
      <c r="D19" s="3"/>
      <c r="E19" s="111"/>
    </row>
    <row r="20" spans="1:8" s="1" customFormat="1" ht="23.1" customHeight="1">
      <c r="A20" s="4"/>
      <c r="B20" s="5" t="s">
        <v>166</v>
      </c>
      <c r="C20" s="6" t="s">
        <v>43</v>
      </c>
      <c r="D20" s="6" t="s">
        <v>42</v>
      </c>
      <c r="E20" s="111">
        <v>2000000</v>
      </c>
    </row>
    <row r="21" spans="1:8" s="1" customFormat="1" ht="23.1" customHeight="1">
      <c r="A21" s="4"/>
      <c r="B21" s="5" t="s">
        <v>42</v>
      </c>
      <c r="C21" s="6" t="s">
        <v>44</v>
      </c>
      <c r="D21" s="6" t="s">
        <v>202</v>
      </c>
      <c r="E21" s="111"/>
    </row>
    <row r="22" spans="1:8" s="1" customFormat="1" ht="23.1" customHeight="1">
      <c r="A22" s="4"/>
      <c r="B22" s="5"/>
      <c r="C22" s="6" t="s">
        <v>45</v>
      </c>
      <c r="D22" s="6"/>
      <c r="E22" s="111"/>
    </row>
    <row r="23" spans="1:8" s="1" customFormat="1" ht="23.1" customHeight="1">
      <c r="A23" s="4"/>
      <c r="B23" s="5"/>
      <c r="C23" s="6" t="s">
        <v>46</v>
      </c>
      <c r="D23" s="6"/>
      <c r="E23" s="111"/>
    </row>
    <row r="24" spans="1:8" s="1" customFormat="1" ht="23.1" customHeight="1">
      <c r="A24" s="100">
        <v>5</v>
      </c>
      <c r="B24" s="5" t="s">
        <v>167</v>
      </c>
      <c r="C24" s="13" t="s">
        <v>168</v>
      </c>
      <c r="D24" s="6" t="s">
        <v>47</v>
      </c>
      <c r="E24" s="111">
        <v>1500000</v>
      </c>
    </row>
    <row r="25" spans="1:8" s="1" customFormat="1" ht="23.1" customHeight="1">
      <c r="A25" s="4"/>
      <c r="B25" s="5"/>
      <c r="C25" s="6" t="s">
        <v>410</v>
      </c>
      <c r="D25" s="6" t="s">
        <v>69</v>
      </c>
      <c r="E25" s="111"/>
    </row>
    <row r="26" spans="1:8" s="1" customFormat="1" ht="23.1" customHeight="1">
      <c r="A26" s="4"/>
      <c r="B26" s="5"/>
      <c r="C26" s="6" t="s">
        <v>169</v>
      </c>
      <c r="D26" s="6"/>
      <c r="E26" s="111"/>
    </row>
    <row r="27" spans="1:8" s="1" customFormat="1" ht="23.1" customHeight="1">
      <c r="A27" s="4"/>
      <c r="B27" s="5"/>
      <c r="C27" s="6" t="s">
        <v>170</v>
      </c>
      <c r="D27" s="6"/>
      <c r="E27" s="111"/>
    </row>
    <row r="28" spans="1:8" s="1" customFormat="1" ht="23.1" customHeight="1">
      <c r="A28" s="4"/>
      <c r="B28" s="5"/>
      <c r="C28" s="6" t="s">
        <v>423</v>
      </c>
      <c r="D28" s="6"/>
      <c r="E28" s="111"/>
    </row>
    <row r="29" spans="1:8" s="1" customFormat="1" ht="23.1" customHeight="1">
      <c r="A29" s="4"/>
      <c r="B29" s="5"/>
      <c r="C29" s="6" t="s">
        <v>449</v>
      </c>
      <c r="D29" s="6"/>
      <c r="E29" s="111"/>
    </row>
    <row r="30" spans="1:8" s="1" customFormat="1" ht="23.1" customHeight="1">
      <c r="A30" s="100">
        <v>6</v>
      </c>
      <c r="B30" s="5" t="s">
        <v>57</v>
      </c>
      <c r="C30" s="6"/>
      <c r="D30" s="6"/>
      <c r="E30" s="111"/>
    </row>
    <row r="31" spans="1:8" s="1" customFormat="1" ht="23.1" customHeight="1">
      <c r="A31" s="4"/>
      <c r="B31" s="5" t="s">
        <v>49</v>
      </c>
      <c r="C31" s="6" t="s">
        <v>50</v>
      </c>
      <c r="D31" s="6" t="s">
        <v>53</v>
      </c>
      <c r="E31" s="111">
        <v>459000</v>
      </c>
      <c r="G31" s="15"/>
      <c r="H31" s="2"/>
    </row>
    <row r="32" spans="1:8" s="1" customFormat="1" ht="23.1" customHeight="1">
      <c r="A32" s="4"/>
      <c r="B32" s="5"/>
      <c r="C32" s="6" t="s">
        <v>51</v>
      </c>
      <c r="D32" s="13" t="s">
        <v>60</v>
      </c>
      <c r="E32" s="111"/>
      <c r="G32" s="15"/>
      <c r="H32" s="2"/>
    </row>
    <row r="33" spans="1:8" s="1" customFormat="1" ht="23.1" customHeight="1">
      <c r="A33" s="4"/>
      <c r="B33" s="5"/>
      <c r="C33" s="6" t="s">
        <v>411</v>
      </c>
      <c r="D33" s="6" t="s">
        <v>58</v>
      </c>
      <c r="E33" s="111"/>
      <c r="G33" s="15"/>
      <c r="H33" s="2"/>
    </row>
    <row r="34" spans="1:8" s="1" customFormat="1" ht="23.1" customHeight="1">
      <c r="A34" s="17"/>
      <c r="B34" s="18"/>
      <c r="C34" s="19" t="s">
        <v>52</v>
      </c>
      <c r="D34" s="19" t="s">
        <v>69</v>
      </c>
      <c r="E34" s="112"/>
      <c r="G34" s="15"/>
      <c r="H34" s="2"/>
    </row>
    <row r="35" spans="1:8" s="1" customFormat="1" ht="5.0999999999999996" customHeight="1">
      <c r="A35" s="20"/>
      <c r="B35" s="32"/>
      <c r="C35" s="21"/>
      <c r="D35" s="21"/>
      <c r="E35" s="113"/>
    </row>
    <row r="36" spans="1:8" s="1" customFormat="1" ht="23.1" customHeight="1">
      <c r="A36" s="387" t="s">
        <v>404</v>
      </c>
      <c r="B36" s="387"/>
      <c r="C36" s="387"/>
      <c r="D36" s="387"/>
      <c r="E36" s="387"/>
    </row>
    <row r="37" spans="1:8" s="1" customFormat="1" ht="23.1" customHeight="1">
      <c r="A37" s="9" t="s">
        <v>41</v>
      </c>
      <c r="B37" s="9" t="s">
        <v>28</v>
      </c>
      <c r="C37" s="9" t="s">
        <v>29</v>
      </c>
      <c r="D37" s="9" t="s">
        <v>30</v>
      </c>
      <c r="E37" s="106" t="s">
        <v>31</v>
      </c>
    </row>
    <row r="38" spans="1:8" s="1" customFormat="1" ht="23.1" customHeight="1">
      <c r="A38" s="10" t="s">
        <v>40</v>
      </c>
      <c r="B38" s="10"/>
      <c r="C38" s="10"/>
      <c r="D38" s="10"/>
      <c r="E38" s="107"/>
      <c r="H38" s="22"/>
    </row>
    <row r="39" spans="1:8" s="1" customFormat="1" ht="23.1" customHeight="1">
      <c r="A39" s="4"/>
      <c r="B39" s="5" t="s">
        <v>54</v>
      </c>
      <c r="C39" s="6" t="s">
        <v>55</v>
      </c>
      <c r="D39" s="6" t="s">
        <v>53</v>
      </c>
      <c r="E39" s="111">
        <v>389500</v>
      </c>
    </row>
    <row r="40" spans="1:8" s="1" customFormat="1" ht="23.1" customHeight="1">
      <c r="A40" s="4"/>
      <c r="B40" s="5"/>
      <c r="C40" s="6" t="s">
        <v>424</v>
      </c>
      <c r="D40" s="13" t="s">
        <v>60</v>
      </c>
      <c r="E40" s="111"/>
    </row>
    <row r="41" spans="1:8" s="1" customFormat="1" ht="23.1" customHeight="1">
      <c r="A41" s="4"/>
      <c r="B41" s="5"/>
      <c r="C41" s="6" t="s">
        <v>511</v>
      </c>
      <c r="D41" s="6" t="s">
        <v>58</v>
      </c>
      <c r="E41" s="111"/>
    </row>
    <row r="42" spans="1:8" s="1" customFormat="1" ht="23.1" customHeight="1">
      <c r="A42" s="100">
        <v>7</v>
      </c>
      <c r="B42" s="5" t="s">
        <v>73</v>
      </c>
      <c r="C42" s="3"/>
      <c r="D42" s="6" t="s">
        <v>69</v>
      </c>
      <c r="E42" s="114"/>
    </row>
    <row r="43" spans="1:8" s="1" customFormat="1" ht="23.1" customHeight="1">
      <c r="A43" s="4"/>
      <c r="B43" s="5" t="s">
        <v>74</v>
      </c>
      <c r="C43" s="3"/>
      <c r="D43" s="3"/>
      <c r="E43" s="114"/>
    </row>
    <row r="44" spans="1:8" s="1" customFormat="1" ht="23.1" customHeight="1">
      <c r="A44" s="4"/>
      <c r="B44" s="5" t="s">
        <v>171</v>
      </c>
      <c r="C44" s="6" t="s">
        <v>61</v>
      </c>
      <c r="D44" s="13" t="s">
        <v>72</v>
      </c>
      <c r="E44" s="111">
        <v>196800</v>
      </c>
    </row>
    <row r="45" spans="1:8" s="1" customFormat="1" ht="23.1" customHeight="1">
      <c r="A45" s="4"/>
      <c r="B45" s="5"/>
      <c r="C45" s="6" t="s">
        <v>450</v>
      </c>
      <c r="D45" s="6" t="s">
        <v>63</v>
      </c>
      <c r="E45" s="111"/>
    </row>
    <row r="46" spans="1:8" s="1" customFormat="1" ht="23.1" customHeight="1">
      <c r="A46" s="4"/>
      <c r="B46" s="5"/>
      <c r="C46" s="6" t="s">
        <v>481</v>
      </c>
      <c r="D46" s="6" t="s">
        <v>206</v>
      </c>
      <c r="E46" s="111"/>
    </row>
    <row r="47" spans="1:8" s="1" customFormat="1" ht="23.1" customHeight="1">
      <c r="A47" s="4"/>
      <c r="B47" s="5"/>
      <c r="C47" s="6" t="s">
        <v>62</v>
      </c>
      <c r="D47" s="6"/>
      <c r="E47" s="111"/>
    </row>
    <row r="48" spans="1:8" s="1" customFormat="1" ht="23.1" customHeight="1">
      <c r="A48" s="4"/>
      <c r="B48" s="5"/>
      <c r="C48" s="6" t="s">
        <v>172</v>
      </c>
      <c r="D48" s="6"/>
      <c r="E48" s="111"/>
    </row>
    <row r="49" spans="1:5" s="1" customFormat="1" ht="23.1" customHeight="1">
      <c r="A49" s="4"/>
      <c r="B49" s="5"/>
      <c r="C49" s="6" t="s">
        <v>451</v>
      </c>
      <c r="D49" s="6"/>
      <c r="E49" s="111"/>
    </row>
    <row r="50" spans="1:5" s="1" customFormat="1" ht="23.1" customHeight="1">
      <c r="A50" s="100">
        <v>8</v>
      </c>
      <c r="B50" s="5" t="s">
        <v>71</v>
      </c>
      <c r="C50" s="3"/>
      <c r="D50" s="3"/>
      <c r="E50" s="114"/>
    </row>
    <row r="51" spans="1:5" s="1" customFormat="1" ht="23.1" customHeight="1">
      <c r="A51" s="4"/>
      <c r="B51" s="5" t="s">
        <v>173</v>
      </c>
      <c r="C51" s="6" t="s">
        <v>64</v>
      </c>
      <c r="D51" s="6" t="s">
        <v>67</v>
      </c>
      <c r="E51" s="111">
        <v>10000000</v>
      </c>
    </row>
    <row r="52" spans="1:5" s="1" customFormat="1" ht="23.1" customHeight="1">
      <c r="A52" s="4"/>
      <c r="B52" s="5"/>
      <c r="C52" s="6" t="s">
        <v>65</v>
      </c>
      <c r="D52" s="6" t="s">
        <v>70</v>
      </c>
      <c r="E52" s="111"/>
    </row>
    <row r="53" spans="1:5" s="1" customFormat="1" ht="23.1" customHeight="1">
      <c r="A53" s="4"/>
      <c r="B53" s="5"/>
      <c r="C53" s="13" t="s">
        <v>463</v>
      </c>
      <c r="D53" s="6" t="s">
        <v>68</v>
      </c>
      <c r="E53" s="111"/>
    </row>
    <row r="54" spans="1:5" s="1" customFormat="1" ht="23.1" customHeight="1">
      <c r="A54" s="4"/>
      <c r="B54" s="5"/>
      <c r="C54" s="6" t="s">
        <v>66</v>
      </c>
      <c r="D54" s="6"/>
      <c r="E54" s="111"/>
    </row>
    <row r="55" spans="1:5" s="1" customFormat="1" ht="23.1" customHeight="1">
      <c r="A55" s="100">
        <v>9</v>
      </c>
      <c r="B55" s="5" t="s">
        <v>75</v>
      </c>
      <c r="C55" s="6" t="s">
        <v>77</v>
      </c>
      <c r="D55" s="6" t="s">
        <v>174</v>
      </c>
      <c r="E55" s="111">
        <v>3000000</v>
      </c>
    </row>
    <row r="56" spans="1:5" s="1" customFormat="1" ht="23.1" customHeight="1">
      <c r="A56" s="4"/>
      <c r="B56" s="5" t="s">
        <v>76</v>
      </c>
      <c r="C56" s="6" t="s">
        <v>438</v>
      </c>
      <c r="D56" s="6" t="s">
        <v>78</v>
      </c>
      <c r="E56" s="111"/>
    </row>
    <row r="57" spans="1:5" s="1" customFormat="1" ht="23.1" customHeight="1">
      <c r="A57" s="4"/>
      <c r="B57" s="5"/>
      <c r="C57" s="6" t="s">
        <v>464</v>
      </c>
      <c r="D57" s="6" t="s">
        <v>79</v>
      </c>
      <c r="E57" s="111"/>
    </row>
    <row r="58" spans="1:5" s="1" customFormat="1" ht="23.1" customHeight="1">
      <c r="A58" s="4"/>
      <c r="B58" s="5"/>
      <c r="C58" s="6" t="s">
        <v>465</v>
      </c>
      <c r="D58" s="6"/>
      <c r="E58" s="111"/>
    </row>
    <row r="59" spans="1:5" s="1" customFormat="1" ht="23.1" customHeight="1">
      <c r="A59" s="4"/>
      <c r="B59" s="5"/>
      <c r="C59" s="6" t="s">
        <v>412</v>
      </c>
      <c r="D59" s="6"/>
      <c r="E59" s="111"/>
    </row>
    <row r="60" spans="1:5" s="1" customFormat="1" ht="23.1" customHeight="1">
      <c r="A60" s="100">
        <v>10</v>
      </c>
      <c r="B60" s="5" t="s">
        <v>80</v>
      </c>
      <c r="C60" s="6" t="s">
        <v>82</v>
      </c>
      <c r="D60" s="6" t="s">
        <v>83</v>
      </c>
      <c r="E60" s="111">
        <v>147000</v>
      </c>
    </row>
    <row r="61" spans="1:5" s="1" customFormat="1" ht="23.1" customHeight="1">
      <c r="A61" s="4"/>
      <c r="B61" s="5" t="s">
        <v>81</v>
      </c>
      <c r="C61" s="6" t="s">
        <v>466</v>
      </c>
      <c r="D61" s="6" t="s">
        <v>207</v>
      </c>
      <c r="E61" s="111"/>
    </row>
    <row r="62" spans="1:5" s="1" customFormat="1" ht="23.1" customHeight="1">
      <c r="A62" s="4"/>
      <c r="B62" s="5"/>
      <c r="C62" s="6" t="s">
        <v>85</v>
      </c>
      <c r="D62" s="16" t="s">
        <v>59</v>
      </c>
      <c r="E62" s="111">
        <v>106000</v>
      </c>
    </row>
    <row r="63" spans="1:5" s="1" customFormat="1" ht="23.1" customHeight="1">
      <c r="A63" s="4"/>
      <c r="B63" s="5"/>
      <c r="C63" s="6" t="s">
        <v>497</v>
      </c>
      <c r="D63" s="6"/>
      <c r="E63" s="111"/>
    </row>
    <row r="64" spans="1:5" s="1" customFormat="1" ht="23.1" customHeight="1">
      <c r="A64" s="4"/>
      <c r="B64" s="5"/>
      <c r="C64" s="6" t="s">
        <v>84</v>
      </c>
      <c r="D64" s="6"/>
      <c r="E64" s="111"/>
    </row>
    <row r="65" spans="1:8" s="1" customFormat="1" ht="23.1" customHeight="1">
      <c r="A65" s="4"/>
      <c r="B65" s="5"/>
      <c r="C65" s="6" t="s">
        <v>86</v>
      </c>
      <c r="D65" s="16" t="s">
        <v>59</v>
      </c>
      <c r="E65" s="111">
        <v>74000</v>
      </c>
    </row>
    <row r="66" spans="1:8" s="1" customFormat="1" ht="23.1" customHeight="1">
      <c r="A66" s="4"/>
      <c r="B66" s="5"/>
      <c r="C66" s="6" t="s">
        <v>425</v>
      </c>
      <c r="D66" s="6"/>
      <c r="E66" s="111"/>
    </row>
    <row r="67" spans="1:8" s="1" customFormat="1" ht="23.1" customHeight="1">
      <c r="A67" s="4"/>
      <c r="B67" s="5"/>
      <c r="C67" s="6" t="s">
        <v>87</v>
      </c>
      <c r="D67" s="16" t="s">
        <v>59</v>
      </c>
      <c r="E67" s="111">
        <v>109000</v>
      </c>
    </row>
    <row r="68" spans="1:8" s="1" customFormat="1" ht="23.1" customHeight="1">
      <c r="A68" s="17"/>
      <c r="B68" s="18"/>
      <c r="C68" s="19" t="s">
        <v>512</v>
      </c>
      <c r="D68" s="19"/>
      <c r="E68" s="112"/>
    </row>
    <row r="69" spans="1:8" s="1" customFormat="1" ht="23.1" customHeight="1">
      <c r="A69" s="20"/>
      <c r="B69" s="32"/>
      <c r="C69" s="21"/>
      <c r="D69" s="33"/>
      <c r="E69" s="113"/>
    </row>
    <row r="70" spans="1:8" s="1" customFormat="1" ht="23.1" customHeight="1">
      <c r="A70" s="387" t="s">
        <v>405</v>
      </c>
      <c r="B70" s="387"/>
      <c r="C70" s="387"/>
      <c r="D70" s="387"/>
      <c r="E70" s="387"/>
    </row>
    <row r="71" spans="1:8" s="1" customFormat="1" ht="23.1" customHeight="1">
      <c r="A71" s="9" t="s">
        <v>41</v>
      </c>
      <c r="B71" s="9" t="s">
        <v>28</v>
      </c>
      <c r="C71" s="9" t="s">
        <v>29</v>
      </c>
      <c r="D71" s="9" t="s">
        <v>30</v>
      </c>
      <c r="E71" s="106" t="s">
        <v>31</v>
      </c>
    </row>
    <row r="72" spans="1:8" s="1" customFormat="1" ht="23.1" customHeight="1">
      <c r="A72" s="10" t="s">
        <v>40</v>
      </c>
      <c r="B72" s="10"/>
      <c r="C72" s="10"/>
      <c r="D72" s="10"/>
      <c r="E72" s="107"/>
      <c r="H72" s="22"/>
    </row>
    <row r="73" spans="1:8" s="1" customFormat="1" ht="23.1" customHeight="1">
      <c r="A73" s="4"/>
      <c r="B73" s="5"/>
      <c r="C73" s="6" t="s">
        <v>88</v>
      </c>
      <c r="D73" s="6" t="s">
        <v>83</v>
      </c>
      <c r="E73" s="111">
        <v>24000</v>
      </c>
    </row>
    <row r="74" spans="1:8" s="1" customFormat="1" ht="23.1" customHeight="1">
      <c r="A74" s="4"/>
      <c r="B74" s="5"/>
      <c r="C74" s="6" t="s">
        <v>89</v>
      </c>
      <c r="D74" s="6" t="s">
        <v>207</v>
      </c>
      <c r="E74" s="111"/>
    </row>
    <row r="75" spans="1:8" s="1" customFormat="1" ht="23.1" customHeight="1">
      <c r="A75" s="4"/>
      <c r="B75" s="5"/>
      <c r="C75" s="6" t="s">
        <v>467</v>
      </c>
      <c r="D75" s="16"/>
      <c r="E75" s="111"/>
    </row>
    <row r="76" spans="1:8" s="1" customFormat="1" ht="23.1" customHeight="1">
      <c r="A76" s="100">
        <v>11</v>
      </c>
      <c r="B76" s="8" t="s">
        <v>91</v>
      </c>
      <c r="C76" s="6" t="s">
        <v>92</v>
      </c>
      <c r="D76" s="6" t="s">
        <v>38</v>
      </c>
      <c r="E76" s="115">
        <v>583000</v>
      </c>
    </row>
    <row r="77" spans="1:8" s="1" customFormat="1" ht="23.1" customHeight="1">
      <c r="A77" s="4"/>
      <c r="B77" s="8" t="s">
        <v>90</v>
      </c>
      <c r="C77" s="6" t="s">
        <v>482</v>
      </c>
      <c r="D77" s="6" t="s">
        <v>180</v>
      </c>
      <c r="E77" s="115"/>
    </row>
    <row r="78" spans="1:8" s="1" customFormat="1" ht="23.1" customHeight="1">
      <c r="A78" s="4"/>
      <c r="B78" s="8"/>
      <c r="C78" s="6" t="s">
        <v>93</v>
      </c>
      <c r="D78" s="6"/>
      <c r="E78" s="115"/>
    </row>
    <row r="79" spans="1:8" s="1" customFormat="1" ht="23.1" customHeight="1">
      <c r="A79" s="4"/>
      <c r="B79" s="8"/>
      <c r="C79" s="6" t="s">
        <v>94</v>
      </c>
      <c r="D79" s="6"/>
      <c r="E79" s="115"/>
    </row>
    <row r="80" spans="1:8" s="1" customFormat="1" ht="23.1" customHeight="1">
      <c r="A80" s="100">
        <v>12</v>
      </c>
      <c r="B80" s="8" t="s">
        <v>91</v>
      </c>
      <c r="C80" s="6" t="s">
        <v>92</v>
      </c>
      <c r="D80" s="6" t="s">
        <v>38</v>
      </c>
      <c r="E80" s="115">
        <v>335000</v>
      </c>
    </row>
    <row r="81" spans="1:5" s="1" customFormat="1" ht="23.1" customHeight="1">
      <c r="A81" s="4"/>
      <c r="B81" s="8" t="s">
        <v>95</v>
      </c>
      <c r="C81" s="6" t="s">
        <v>498</v>
      </c>
      <c r="D81" s="6" t="s">
        <v>180</v>
      </c>
      <c r="E81" s="115"/>
    </row>
    <row r="82" spans="1:5" s="1" customFormat="1" ht="23.1" customHeight="1">
      <c r="A82" s="4"/>
      <c r="B82" s="8"/>
      <c r="C82" s="6" t="s">
        <v>93</v>
      </c>
      <c r="D82" s="6"/>
      <c r="E82" s="115"/>
    </row>
    <row r="83" spans="1:5" s="1" customFormat="1" ht="23.1" customHeight="1">
      <c r="A83" s="4"/>
      <c r="B83" s="8"/>
      <c r="C83" s="6" t="s">
        <v>94</v>
      </c>
      <c r="D83" s="6"/>
      <c r="E83" s="115"/>
    </row>
    <row r="84" spans="1:5" s="1" customFormat="1" ht="23.1" customHeight="1">
      <c r="A84" s="100">
        <v>13</v>
      </c>
      <c r="B84" s="8" t="s">
        <v>91</v>
      </c>
      <c r="C84" s="6" t="s">
        <v>92</v>
      </c>
      <c r="D84" s="6" t="s">
        <v>499</v>
      </c>
      <c r="E84" s="115">
        <v>253000</v>
      </c>
    </row>
    <row r="85" spans="1:5" s="1" customFormat="1" ht="23.1" customHeight="1">
      <c r="A85" s="4"/>
      <c r="B85" s="8" t="s">
        <v>500</v>
      </c>
      <c r="C85" s="6" t="s">
        <v>513</v>
      </c>
      <c r="D85" s="6"/>
      <c r="E85" s="115"/>
    </row>
    <row r="86" spans="1:5" s="1" customFormat="1" ht="23.1" customHeight="1">
      <c r="A86" s="4"/>
      <c r="B86" s="8"/>
      <c r="C86" s="6" t="s">
        <v>93</v>
      </c>
      <c r="D86" s="6"/>
      <c r="E86" s="115"/>
    </row>
    <row r="87" spans="1:5" s="1" customFormat="1" ht="23.1" customHeight="1">
      <c r="A87" s="4"/>
      <c r="B87" s="8"/>
      <c r="C87" s="6" t="s">
        <v>94</v>
      </c>
      <c r="D87" s="6"/>
      <c r="E87" s="115"/>
    </row>
    <row r="88" spans="1:5" s="1" customFormat="1" ht="23.1" customHeight="1">
      <c r="A88" s="100">
        <v>14</v>
      </c>
      <c r="B88" s="8" t="s">
        <v>91</v>
      </c>
      <c r="C88" s="6" t="s">
        <v>92</v>
      </c>
      <c r="D88" s="6" t="s">
        <v>483</v>
      </c>
      <c r="E88" s="115">
        <v>1940000</v>
      </c>
    </row>
    <row r="89" spans="1:5" s="1" customFormat="1" ht="23.1" customHeight="1">
      <c r="A89" s="4"/>
      <c r="B89" s="8" t="s">
        <v>484</v>
      </c>
      <c r="C89" s="6" t="s">
        <v>468</v>
      </c>
      <c r="D89" s="6" t="s">
        <v>180</v>
      </c>
      <c r="E89" s="115"/>
    </row>
    <row r="90" spans="1:5" s="1" customFormat="1" ht="23.1" customHeight="1">
      <c r="A90" s="4"/>
      <c r="B90" s="8"/>
      <c r="C90" s="6" t="s">
        <v>93</v>
      </c>
      <c r="D90" s="6"/>
      <c r="E90" s="115"/>
    </row>
    <row r="91" spans="1:5" s="1" customFormat="1" ht="23.1" customHeight="1">
      <c r="A91" s="4"/>
      <c r="B91" s="8"/>
      <c r="C91" s="6" t="s">
        <v>94</v>
      </c>
      <c r="D91" s="6"/>
      <c r="E91" s="115"/>
    </row>
    <row r="92" spans="1:5" s="1" customFormat="1" ht="23.1" customHeight="1">
      <c r="A92" s="100">
        <v>15</v>
      </c>
      <c r="B92" s="8" t="s">
        <v>91</v>
      </c>
      <c r="C92" s="6" t="s">
        <v>92</v>
      </c>
      <c r="D92" s="6" t="s">
        <v>39</v>
      </c>
      <c r="E92" s="115">
        <v>3115000</v>
      </c>
    </row>
    <row r="93" spans="1:5" s="1" customFormat="1" ht="23.1" customHeight="1">
      <c r="A93" s="4"/>
      <c r="B93" s="8" t="s">
        <v>426</v>
      </c>
      <c r="C93" s="6" t="s">
        <v>501</v>
      </c>
      <c r="D93" s="6" t="s">
        <v>427</v>
      </c>
      <c r="E93" s="115"/>
    </row>
    <row r="94" spans="1:5" s="1" customFormat="1" ht="23.1" customHeight="1">
      <c r="A94" s="4"/>
      <c r="B94" s="8"/>
      <c r="C94" s="6" t="s">
        <v>93</v>
      </c>
      <c r="D94" s="6"/>
      <c r="E94" s="115"/>
    </row>
    <row r="95" spans="1:5" s="1" customFormat="1" ht="23.1" customHeight="1">
      <c r="A95" s="4"/>
      <c r="B95" s="8"/>
      <c r="C95" s="6" t="s">
        <v>94</v>
      </c>
      <c r="D95" s="6"/>
      <c r="E95" s="115"/>
    </row>
    <row r="96" spans="1:5" s="1" customFormat="1" ht="23.1" customHeight="1">
      <c r="A96" s="100">
        <v>16</v>
      </c>
      <c r="B96" s="8" t="s">
        <v>91</v>
      </c>
      <c r="C96" s="6" t="s">
        <v>92</v>
      </c>
      <c r="D96" s="6" t="s">
        <v>97</v>
      </c>
      <c r="E96" s="115">
        <v>3985000</v>
      </c>
    </row>
    <row r="97" spans="1:8" s="1" customFormat="1" ht="23.1" customHeight="1">
      <c r="A97" s="4"/>
      <c r="B97" s="8" t="s">
        <v>96</v>
      </c>
      <c r="C97" s="6" t="s">
        <v>469</v>
      </c>
      <c r="D97" s="6" t="s">
        <v>181</v>
      </c>
      <c r="E97" s="115"/>
    </row>
    <row r="98" spans="1:8" s="1" customFormat="1" ht="23.1" customHeight="1">
      <c r="A98" s="4"/>
      <c r="B98" s="8"/>
      <c r="C98" s="6" t="s">
        <v>93</v>
      </c>
      <c r="D98" s="6"/>
      <c r="E98" s="115"/>
    </row>
    <row r="99" spans="1:8" s="1" customFormat="1" ht="23.1" customHeight="1">
      <c r="A99" s="4"/>
      <c r="B99" s="8"/>
      <c r="C99" s="6" t="s">
        <v>94</v>
      </c>
      <c r="D99" s="6"/>
      <c r="E99" s="115"/>
    </row>
    <row r="100" spans="1:8" s="1" customFormat="1" ht="23.1" customHeight="1">
      <c r="A100" s="100">
        <v>17</v>
      </c>
      <c r="B100" s="8" t="s">
        <v>91</v>
      </c>
      <c r="C100" s="6" t="s">
        <v>92</v>
      </c>
      <c r="D100" s="6" t="s">
        <v>32</v>
      </c>
      <c r="E100" s="115">
        <v>3590000</v>
      </c>
    </row>
    <row r="101" spans="1:8" s="1" customFormat="1" ht="23.1" customHeight="1">
      <c r="A101" s="4"/>
      <c r="B101" s="8" t="s">
        <v>32</v>
      </c>
      <c r="C101" s="6" t="s">
        <v>502</v>
      </c>
      <c r="D101" s="6" t="s">
        <v>182</v>
      </c>
      <c r="E101" s="114"/>
    </row>
    <row r="102" spans="1:8" s="1" customFormat="1" ht="23.1" customHeight="1">
      <c r="A102" s="4"/>
      <c r="B102" s="8"/>
      <c r="C102" s="6" t="s">
        <v>93</v>
      </c>
      <c r="D102" s="6"/>
      <c r="E102" s="114"/>
    </row>
    <row r="103" spans="1:8" s="1" customFormat="1" ht="23.1" customHeight="1">
      <c r="A103" s="17"/>
      <c r="B103" s="23"/>
      <c r="C103" s="19" t="s">
        <v>94</v>
      </c>
      <c r="D103" s="19"/>
      <c r="E103" s="116"/>
    </row>
    <row r="104" spans="1:8" s="1" customFormat="1" ht="5.0999999999999996" customHeight="1">
      <c r="A104" s="29"/>
      <c r="B104" s="30"/>
      <c r="C104" s="15"/>
      <c r="D104" s="15"/>
      <c r="E104" s="117"/>
    </row>
    <row r="105" spans="1:8" s="1" customFormat="1" ht="23.1" customHeight="1">
      <c r="A105" s="387" t="s">
        <v>452</v>
      </c>
      <c r="B105" s="387"/>
      <c r="C105" s="387"/>
      <c r="D105" s="387"/>
      <c r="E105" s="387"/>
    </row>
    <row r="106" spans="1:8" s="1" customFormat="1" ht="23.1" customHeight="1">
      <c r="A106" s="9" t="s">
        <v>41</v>
      </c>
      <c r="B106" s="9" t="s">
        <v>28</v>
      </c>
      <c r="C106" s="9" t="s">
        <v>29</v>
      </c>
      <c r="D106" s="9" t="s">
        <v>30</v>
      </c>
      <c r="E106" s="106" t="s">
        <v>31</v>
      </c>
    </row>
    <row r="107" spans="1:8" s="1" customFormat="1" ht="23.1" customHeight="1">
      <c r="A107" s="10" t="s">
        <v>40</v>
      </c>
      <c r="B107" s="10"/>
      <c r="C107" s="10"/>
      <c r="D107" s="10"/>
      <c r="E107" s="107"/>
      <c r="H107" s="22"/>
    </row>
    <row r="108" spans="1:8" s="1" customFormat="1" ht="23.1" customHeight="1">
      <c r="A108" s="100">
        <v>18</v>
      </c>
      <c r="B108" s="8" t="s">
        <v>91</v>
      </c>
      <c r="C108" s="6" t="s">
        <v>92</v>
      </c>
      <c r="D108" s="6" t="s">
        <v>98</v>
      </c>
      <c r="E108" s="115">
        <v>213000</v>
      </c>
    </row>
    <row r="109" spans="1:8" s="1" customFormat="1" ht="23.1" customHeight="1">
      <c r="A109" s="4"/>
      <c r="B109" s="8" t="s">
        <v>485</v>
      </c>
      <c r="C109" s="6" t="s">
        <v>470</v>
      </c>
      <c r="D109" s="6" t="s">
        <v>486</v>
      </c>
      <c r="E109" s="115"/>
    </row>
    <row r="110" spans="1:8" s="1" customFormat="1" ht="23.1" customHeight="1">
      <c r="A110" s="4"/>
      <c r="B110" s="8"/>
      <c r="C110" s="6" t="s">
        <v>93</v>
      </c>
      <c r="D110" s="6" t="s">
        <v>183</v>
      </c>
      <c r="E110" s="115"/>
    </row>
    <row r="111" spans="1:8" s="1" customFormat="1" ht="23.1" customHeight="1">
      <c r="A111" s="4"/>
      <c r="B111" s="8"/>
      <c r="C111" s="6" t="s">
        <v>94</v>
      </c>
      <c r="D111" s="6"/>
      <c r="E111" s="115"/>
    </row>
    <row r="112" spans="1:8" s="1" customFormat="1" ht="23.1" customHeight="1">
      <c r="A112" s="100">
        <v>19</v>
      </c>
      <c r="B112" s="8" t="s">
        <v>91</v>
      </c>
      <c r="C112" s="6" t="s">
        <v>92</v>
      </c>
      <c r="D112" s="6" t="s">
        <v>503</v>
      </c>
      <c r="E112" s="115">
        <v>360000</v>
      </c>
    </row>
    <row r="113" spans="1:5" s="1" customFormat="1" ht="23.1" customHeight="1">
      <c r="A113" s="4"/>
      <c r="B113" s="8" t="s">
        <v>504</v>
      </c>
      <c r="C113" s="6" t="s">
        <v>505</v>
      </c>
      <c r="D113" s="6"/>
      <c r="E113" s="115"/>
    </row>
    <row r="114" spans="1:5" s="1" customFormat="1" ht="23.1" customHeight="1">
      <c r="A114" s="4"/>
      <c r="B114" s="8"/>
      <c r="C114" s="6" t="s">
        <v>93</v>
      </c>
      <c r="D114" s="6"/>
      <c r="E114" s="115"/>
    </row>
    <row r="115" spans="1:5" s="1" customFormat="1" ht="23.1" customHeight="1">
      <c r="A115" s="4"/>
      <c r="B115" s="8"/>
      <c r="C115" s="6" t="s">
        <v>99</v>
      </c>
      <c r="D115" s="6"/>
      <c r="E115" s="115"/>
    </row>
    <row r="116" spans="1:5" s="1" customFormat="1" ht="23.1" customHeight="1">
      <c r="A116" s="100">
        <v>20</v>
      </c>
      <c r="B116" s="8" t="s">
        <v>91</v>
      </c>
      <c r="C116" s="6" t="s">
        <v>92</v>
      </c>
      <c r="D116" s="6" t="s">
        <v>111</v>
      </c>
      <c r="E116" s="115">
        <v>4185000</v>
      </c>
    </row>
    <row r="117" spans="1:5" s="1" customFormat="1" ht="23.1" customHeight="1">
      <c r="A117" s="4"/>
      <c r="B117" s="8" t="s">
        <v>453</v>
      </c>
      <c r="C117" s="6" t="s">
        <v>471</v>
      </c>
      <c r="D117" s="6" t="s">
        <v>454</v>
      </c>
      <c r="E117" s="115"/>
    </row>
    <row r="118" spans="1:5" s="1" customFormat="1" ht="23.1" customHeight="1">
      <c r="A118" s="4"/>
      <c r="B118" s="8"/>
      <c r="C118" s="6" t="s">
        <v>93</v>
      </c>
      <c r="D118" s="6" t="s">
        <v>180</v>
      </c>
      <c r="E118" s="115"/>
    </row>
    <row r="119" spans="1:5" s="1" customFormat="1" ht="23.1" customHeight="1">
      <c r="A119" s="4"/>
      <c r="B119" s="8"/>
      <c r="C119" s="6" t="s">
        <v>94</v>
      </c>
      <c r="D119" s="6"/>
      <c r="E119" s="115"/>
    </row>
    <row r="120" spans="1:5" s="1" customFormat="1" ht="23.1" customHeight="1">
      <c r="A120" s="100">
        <v>21</v>
      </c>
      <c r="B120" s="8" t="s">
        <v>91</v>
      </c>
      <c r="C120" s="6" t="s">
        <v>92</v>
      </c>
      <c r="D120" s="6" t="s">
        <v>112</v>
      </c>
      <c r="E120" s="115">
        <v>1820000</v>
      </c>
    </row>
    <row r="121" spans="1:5" s="1" customFormat="1" ht="23.1" customHeight="1">
      <c r="A121" s="4"/>
      <c r="B121" s="8" t="s">
        <v>33</v>
      </c>
      <c r="C121" s="6" t="s">
        <v>514</v>
      </c>
      <c r="D121" s="6" t="s">
        <v>184</v>
      </c>
      <c r="E121" s="115"/>
    </row>
    <row r="122" spans="1:5" s="1" customFormat="1" ht="23.1" customHeight="1">
      <c r="A122" s="4"/>
      <c r="B122" s="8"/>
      <c r="C122" s="6" t="s">
        <v>93</v>
      </c>
      <c r="D122" s="6"/>
      <c r="E122" s="115"/>
    </row>
    <row r="123" spans="1:5" s="1" customFormat="1" ht="23.1" customHeight="1">
      <c r="A123" s="4"/>
      <c r="B123" s="8"/>
      <c r="C123" s="6" t="s">
        <v>94</v>
      </c>
      <c r="D123" s="6"/>
      <c r="E123" s="115"/>
    </row>
    <row r="124" spans="1:5" s="1" customFormat="1" ht="23.1" customHeight="1">
      <c r="A124" s="100">
        <v>22</v>
      </c>
      <c r="B124" s="8" t="s">
        <v>91</v>
      </c>
      <c r="C124" s="6" t="s">
        <v>92</v>
      </c>
      <c r="D124" s="6" t="s">
        <v>428</v>
      </c>
      <c r="E124" s="115">
        <v>5180000</v>
      </c>
    </row>
    <row r="125" spans="1:5" s="1" customFormat="1" ht="23.1" customHeight="1">
      <c r="A125" s="4"/>
      <c r="B125" s="8" t="s">
        <v>429</v>
      </c>
      <c r="C125" s="6" t="s">
        <v>472</v>
      </c>
      <c r="D125" s="6" t="s">
        <v>185</v>
      </c>
      <c r="E125" s="115"/>
    </row>
    <row r="126" spans="1:5" s="1" customFormat="1" ht="23.1" customHeight="1">
      <c r="A126" s="4"/>
      <c r="B126" s="8"/>
      <c r="C126" s="6" t="s">
        <v>93</v>
      </c>
      <c r="D126" s="6"/>
      <c r="E126" s="115"/>
    </row>
    <row r="127" spans="1:5" s="1" customFormat="1" ht="23.1" customHeight="1">
      <c r="A127" s="4"/>
      <c r="B127" s="8"/>
      <c r="C127" s="6" t="s">
        <v>94</v>
      </c>
      <c r="D127" s="6"/>
      <c r="E127" s="115"/>
    </row>
    <row r="128" spans="1:5" s="1" customFormat="1" ht="23.1" customHeight="1">
      <c r="A128" s="100">
        <v>23</v>
      </c>
      <c r="B128" s="8" t="s">
        <v>91</v>
      </c>
      <c r="C128" s="6" t="s">
        <v>92</v>
      </c>
      <c r="D128" s="6" t="s">
        <v>430</v>
      </c>
      <c r="E128" s="115">
        <v>5240000</v>
      </c>
    </row>
    <row r="129" spans="1:8" s="1" customFormat="1" ht="23.1" customHeight="1">
      <c r="A129" s="4"/>
      <c r="B129" s="8" t="s">
        <v>431</v>
      </c>
      <c r="C129" s="6" t="s">
        <v>473</v>
      </c>
      <c r="D129" s="6" t="s">
        <v>185</v>
      </c>
      <c r="E129" s="115"/>
    </row>
    <row r="130" spans="1:8" s="1" customFormat="1" ht="23.1" customHeight="1">
      <c r="A130" s="4"/>
      <c r="B130" s="8"/>
      <c r="C130" s="6" t="s">
        <v>93</v>
      </c>
      <c r="D130" s="6"/>
      <c r="E130" s="115"/>
    </row>
    <row r="131" spans="1:8" s="1" customFormat="1" ht="23.1" customHeight="1">
      <c r="A131" s="4"/>
      <c r="B131" s="8"/>
      <c r="C131" s="6" t="s">
        <v>94</v>
      </c>
      <c r="D131" s="6"/>
      <c r="E131" s="115"/>
    </row>
    <row r="132" spans="1:8" s="1" customFormat="1" ht="23.1" customHeight="1">
      <c r="A132" s="100">
        <v>24</v>
      </c>
      <c r="B132" s="8" t="s">
        <v>91</v>
      </c>
      <c r="C132" s="6" t="s">
        <v>92</v>
      </c>
      <c r="D132" s="6" t="s">
        <v>113</v>
      </c>
      <c r="E132" s="115">
        <v>880000</v>
      </c>
    </row>
    <row r="133" spans="1:8" s="1" customFormat="1" ht="23.1" customHeight="1">
      <c r="A133" s="4"/>
      <c r="B133" s="8" t="s">
        <v>487</v>
      </c>
      <c r="C133" s="6" t="s">
        <v>506</v>
      </c>
      <c r="D133" s="6" t="s">
        <v>488</v>
      </c>
      <c r="E133" s="115"/>
    </row>
    <row r="134" spans="1:8" s="1" customFormat="1" ht="23.1" customHeight="1">
      <c r="A134" s="4"/>
      <c r="B134" s="8"/>
      <c r="C134" s="6" t="s">
        <v>93</v>
      </c>
      <c r="D134" s="6"/>
      <c r="E134" s="115"/>
    </row>
    <row r="135" spans="1:8" s="1" customFormat="1" ht="23.1" customHeight="1">
      <c r="A135" s="4"/>
      <c r="B135" s="8"/>
      <c r="C135" s="6" t="s">
        <v>94</v>
      </c>
      <c r="D135" s="6"/>
      <c r="E135" s="115"/>
    </row>
    <row r="136" spans="1:8" s="1" customFormat="1" ht="23.1" customHeight="1">
      <c r="A136" s="17"/>
      <c r="B136" s="23"/>
      <c r="C136" s="19"/>
      <c r="D136" s="19"/>
      <c r="E136" s="118"/>
    </row>
    <row r="137" spans="1:8" s="1" customFormat="1" ht="23.1" customHeight="1">
      <c r="A137" s="20"/>
      <c r="B137" s="25"/>
      <c r="C137" s="21"/>
      <c r="D137" s="21"/>
      <c r="E137" s="119"/>
    </row>
    <row r="138" spans="1:8" s="1" customFormat="1" ht="23.1" customHeight="1">
      <c r="A138" s="29"/>
      <c r="B138" s="30"/>
      <c r="C138" s="15"/>
      <c r="D138" s="15"/>
      <c r="E138" s="117"/>
    </row>
    <row r="139" spans="1:8" s="1" customFormat="1" ht="23.1" customHeight="1">
      <c r="A139" s="387" t="s">
        <v>474</v>
      </c>
      <c r="B139" s="387"/>
      <c r="C139" s="387"/>
      <c r="D139" s="387"/>
      <c r="E139" s="387"/>
    </row>
    <row r="140" spans="1:8" s="1" customFormat="1" ht="23.1" customHeight="1">
      <c r="A140" s="9" t="s">
        <v>41</v>
      </c>
      <c r="B140" s="9" t="s">
        <v>28</v>
      </c>
      <c r="C140" s="9" t="s">
        <v>29</v>
      </c>
      <c r="D140" s="9" t="s">
        <v>30</v>
      </c>
      <c r="E140" s="106" t="s">
        <v>31</v>
      </c>
    </row>
    <row r="141" spans="1:8" s="1" customFormat="1" ht="23.1" customHeight="1">
      <c r="A141" s="10" t="s">
        <v>40</v>
      </c>
      <c r="B141" s="10"/>
      <c r="C141" s="10"/>
      <c r="D141" s="10"/>
      <c r="E141" s="107"/>
      <c r="H141" s="22"/>
    </row>
    <row r="142" spans="1:8" s="1" customFormat="1" ht="23.1" customHeight="1">
      <c r="A142" s="100">
        <v>25</v>
      </c>
      <c r="B142" s="8" t="s">
        <v>91</v>
      </c>
      <c r="C142" s="6" t="s">
        <v>92</v>
      </c>
      <c r="D142" s="6" t="s">
        <v>432</v>
      </c>
      <c r="E142" s="115">
        <v>5908000</v>
      </c>
    </row>
    <row r="143" spans="1:8" s="1" customFormat="1" ht="23.1" customHeight="1">
      <c r="A143" s="4"/>
      <c r="B143" s="8" t="s">
        <v>433</v>
      </c>
      <c r="C143" s="6" t="s">
        <v>507</v>
      </c>
      <c r="D143" s="12" t="s">
        <v>434</v>
      </c>
      <c r="E143" s="115"/>
    </row>
    <row r="144" spans="1:8" s="1" customFormat="1" ht="23.1" customHeight="1">
      <c r="A144" s="4"/>
      <c r="B144" s="8" t="s">
        <v>434</v>
      </c>
      <c r="C144" s="6" t="s">
        <v>93</v>
      </c>
      <c r="D144" s="12" t="s">
        <v>149</v>
      </c>
      <c r="E144" s="115"/>
    </row>
    <row r="145" spans="1:5" s="1" customFormat="1" ht="23.1" customHeight="1">
      <c r="A145" s="4"/>
      <c r="B145" s="8"/>
      <c r="C145" s="6" t="s">
        <v>94</v>
      </c>
      <c r="D145" s="12"/>
      <c r="E145" s="115"/>
    </row>
    <row r="146" spans="1:5" s="1" customFormat="1" ht="23.1" customHeight="1">
      <c r="A146" s="100">
        <v>26</v>
      </c>
      <c r="B146" s="8" t="s">
        <v>114</v>
      </c>
      <c r="C146" s="6" t="s">
        <v>116</v>
      </c>
      <c r="D146" s="12" t="s">
        <v>115</v>
      </c>
      <c r="E146" s="115">
        <v>1050000</v>
      </c>
    </row>
    <row r="147" spans="1:5" s="1" customFormat="1" ht="23.1" customHeight="1">
      <c r="A147" s="4"/>
      <c r="B147" s="8"/>
      <c r="C147" s="6" t="s">
        <v>489</v>
      </c>
      <c r="D147" s="12" t="s">
        <v>183</v>
      </c>
      <c r="E147" s="115"/>
    </row>
    <row r="148" spans="1:5" s="1" customFormat="1" ht="23.1" customHeight="1">
      <c r="A148" s="4"/>
      <c r="B148" s="8"/>
      <c r="C148" s="6" t="s">
        <v>93</v>
      </c>
      <c r="D148" s="12"/>
      <c r="E148" s="115"/>
    </row>
    <row r="149" spans="1:5" s="1" customFormat="1" ht="23.1" customHeight="1">
      <c r="A149" s="4"/>
      <c r="B149" s="8"/>
      <c r="C149" s="6" t="s">
        <v>117</v>
      </c>
      <c r="D149" s="12"/>
      <c r="E149" s="115"/>
    </row>
    <row r="150" spans="1:5" s="1" customFormat="1" ht="23.1" customHeight="1">
      <c r="A150" s="101">
        <v>27</v>
      </c>
      <c r="B150" s="8" t="s">
        <v>118</v>
      </c>
      <c r="C150" s="13" t="s">
        <v>120</v>
      </c>
      <c r="D150" s="6" t="s">
        <v>119</v>
      </c>
      <c r="E150" s="115">
        <v>666000</v>
      </c>
    </row>
    <row r="151" spans="1:5" s="1" customFormat="1" ht="23.1" customHeight="1">
      <c r="A151" s="7"/>
      <c r="B151" s="8" t="s">
        <v>34</v>
      </c>
      <c r="C151" s="6" t="s">
        <v>515</v>
      </c>
      <c r="D151" s="6" t="s">
        <v>183</v>
      </c>
      <c r="E151" s="115"/>
    </row>
    <row r="152" spans="1:5" s="1" customFormat="1" ht="23.1" customHeight="1">
      <c r="A152" s="7"/>
      <c r="B152" s="8"/>
      <c r="C152" s="6" t="s">
        <v>84</v>
      </c>
      <c r="D152" s="6"/>
      <c r="E152" s="115"/>
    </row>
    <row r="153" spans="1:5" s="1" customFormat="1" ht="23.1" customHeight="1">
      <c r="A153" s="101">
        <v>28</v>
      </c>
      <c r="B153" s="8" t="s">
        <v>100</v>
      </c>
      <c r="C153" s="6" t="s">
        <v>121</v>
      </c>
      <c r="D153" s="6" t="s">
        <v>35</v>
      </c>
      <c r="E153" s="115">
        <v>7245000</v>
      </c>
    </row>
    <row r="154" spans="1:5" s="1" customFormat="1" ht="23.1" customHeight="1">
      <c r="A154" s="7"/>
      <c r="B154" s="8" t="s">
        <v>35</v>
      </c>
      <c r="C154" s="6" t="s">
        <v>122</v>
      </c>
      <c r="D154" s="6" t="s">
        <v>186</v>
      </c>
      <c r="E154" s="115"/>
    </row>
    <row r="155" spans="1:5" s="1" customFormat="1" ht="23.1" customHeight="1">
      <c r="A155" s="7"/>
      <c r="B155" s="8"/>
      <c r="C155" s="6" t="s">
        <v>508</v>
      </c>
      <c r="D155" s="6" t="s">
        <v>182</v>
      </c>
      <c r="E155" s="115"/>
    </row>
    <row r="156" spans="1:5" s="1" customFormat="1" ht="23.1" customHeight="1">
      <c r="A156" s="100">
        <v>29</v>
      </c>
      <c r="B156" s="8" t="s">
        <v>123</v>
      </c>
      <c r="C156" s="12" t="s">
        <v>126</v>
      </c>
      <c r="D156" s="12" t="s">
        <v>125</v>
      </c>
      <c r="E156" s="115">
        <v>1950000</v>
      </c>
    </row>
    <row r="157" spans="1:5" s="1" customFormat="1" ht="23.1" customHeight="1">
      <c r="A157" s="4"/>
      <c r="B157" s="8" t="s">
        <v>124</v>
      </c>
      <c r="C157" s="12" t="s">
        <v>509</v>
      </c>
      <c r="D157" s="12" t="s">
        <v>413</v>
      </c>
      <c r="E157" s="115"/>
    </row>
    <row r="158" spans="1:5" s="1" customFormat="1" ht="23.1" customHeight="1">
      <c r="A158" s="7"/>
      <c r="B158" s="8" t="s">
        <v>414</v>
      </c>
      <c r="C158" s="6" t="s">
        <v>129</v>
      </c>
      <c r="D158" s="6"/>
      <c r="E158" s="115"/>
    </row>
    <row r="159" spans="1:5" s="1" customFormat="1" ht="23.1" customHeight="1">
      <c r="A159" s="7"/>
      <c r="B159" s="8"/>
      <c r="C159" s="6" t="s">
        <v>127</v>
      </c>
      <c r="D159" s="6"/>
      <c r="E159" s="115"/>
    </row>
    <row r="160" spans="1:5" s="1" customFormat="1" ht="23.1" customHeight="1">
      <c r="A160" s="7"/>
      <c r="B160" s="8"/>
      <c r="C160" s="6" t="s">
        <v>490</v>
      </c>
      <c r="D160" s="6"/>
      <c r="E160" s="115"/>
    </row>
    <row r="161" spans="1:8" s="1" customFormat="1" ht="23.1" customHeight="1">
      <c r="A161" s="7"/>
      <c r="B161" s="8"/>
      <c r="C161" s="6" t="s">
        <v>128</v>
      </c>
      <c r="D161" s="6"/>
      <c r="E161" s="115"/>
    </row>
    <row r="162" spans="1:8" s="1" customFormat="1" ht="23.1" customHeight="1">
      <c r="A162" s="7"/>
      <c r="B162" s="8"/>
      <c r="C162" s="6" t="s">
        <v>475</v>
      </c>
      <c r="D162" s="6"/>
      <c r="E162" s="115"/>
    </row>
    <row r="163" spans="1:8" s="1" customFormat="1" ht="23.1" customHeight="1">
      <c r="A163" s="101">
        <v>30</v>
      </c>
      <c r="B163" s="8" t="s">
        <v>101</v>
      </c>
      <c r="C163" s="6" t="s">
        <v>130</v>
      </c>
      <c r="D163" s="6" t="s">
        <v>175</v>
      </c>
      <c r="E163" s="120" t="s">
        <v>395</v>
      </c>
      <c r="G163" s="95">
        <f>E163+E165</f>
        <v>2400000</v>
      </c>
    </row>
    <row r="164" spans="1:8" s="1" customFormat="1" ht="23.1" customHeight="1">
      <c r="A164" s="7"/>
      <c r="B164" s="8"/>
      <c r="C164" s="6" t="s">
        <v>491</v>
      </c>
      <c r="D164" s="6" t="s">
        <v>183</v>
      </c>
      <c r="E164" s="115"/>
    </row>
    <row r="165" spans="1:8" s="1" customFormat="1" ht="23.1" customHeight="1">
      <c r="A165" s="100">
        <v>31</v>
      </c>
      <c r="B165" s="8" t="s">
        <v>131</v>
      </c>
      <c r="C165" s="6" t="s">
        <v>130</v>
      </c>
      <c r="D165" s="12" t="s">
        <v>133</v>
      </c>
      <c r="E165" s="121">
        <v>1800000</v>
      </c>
    </row>
    <row r="166" spans="1:8" s="1" customFormat="1" ht="23.1" customHeight="1">
      <c r="A166" s="4"/>
      <c r="B166" s="8" t="s">
        <v>132</v>
      </c>
      <c r="C166" s="6" t="s">
        <v>415</v>
      </c>
      <c r="D166" s="12" t="s">
        <v>195</v>
      </c>
      <c r="E166" s="121"/>
    </row>
    <row r="167" spans="1:8" s="1" customFormat="1" ht="23.1" customHeight="1">
      <c r="A167" s="101">
        <v>32</v>
      </c>
      <c r="B167" s="8" t="s">
        <v>134</v>
      </c>
      <c r="C167" s="6" t="s">
        <v>130</v>
      </c>
      <c r="D167" s="6" t="s">
        <v>196</v>
      </c>
      <c r="E167" s="115">
        <v>4560000</v>
      </c>
    </row>
    <row r="168" spans="1:8" s="1" customFormat="1" ht="23.1" customHeight="1">
      <c r="A168" s="7"/>
      <c r="B168" s="8"/>
      <c r="C168" s="6" t="s">
        <v>516</v>
      </c>
      <c r="D168" s="6"/>
      <c r="E168" s="115"/>
    </row>
    <row r="169" spans="1:8" s="1" customFormat="1" ht="23.1" customHeight="1">
      <c r="A169" s="102">
        <v>33</v>
      </c>
      <c r="B169" s="12" t="s">
        <v>135</v>
      </c>
      <c r="C169" s="6" t="s">
        <v>137</v>
      </c>
      <c r="D169" s="16" t="s">
        <v>193</v>
      </c>
      <c r="E169" s="122">
        <v>10500000</v>
      </c>
    </row>
    <row r="170" spans="1:8" s="1" customFormat="1" ht="23.1" customHeight="1">
      <c r="A170" s="3"/>
      <c r="B170" s="6" t="s">
        <v>136</v>
      </c>
      <c r="C170" s="6" t="s">
        <v>455</v>
      </c>
      <c r="D170" s="6"/>
      <c r="E170" s="114"/>
    </row>
    <row r="171" spans="1:8" s="1" customFormat="1" ht="23.1" customHeight="1">
      <c r="A171" s="24"/>
      <c r="B171" s="23"/>
      <c r="C171" s="19"/>
      <c r="D171" s="19"/>
      <c r="E171" s="118"/>
    </row>
    <row r="172" spans="1:8" s="1" customFormat="1" ht="23.1" customHeight="1">
      <c r="A172" s="28"/>
      <c r="B172" s="30"/>
      <c r="C172" s="15"/>
      <c r="D172" s="15"/>
      <c r="E172" s="117"/>
    </row>
    <row r="173" spans="1:8" s="1" customFormat="1" ht="23.1" customHeight="1">
      <c r="A173" s="387" t="s">
        <v>492</v>
      </c>
      <c r="B173" s="387"/>
      <c r="C173" s="387"/>
      <c r="D173" s="387"/>
      <c r="E173" s="387"/>
    </row>
    <row r="174" spans="1:8" s="1" customFormat="1" ht="23.1" customHeight="1">
      <c r="A174" s="9" t="s">
        <v>41</v>
      </c>
      <c r="B174" s="9" t="s">
        <v>28</v>
      </c>
      <c r="C174" s="9" t="s">
        <v>29</v>
      </c>
      <c r="D174" s="9" t="s">
        <v>30</v>
      </c>
      <c r="E174" s="106" t="s">
        <v>31</v>
      </c>
    </row>
    <row r="175" spans="1:8" s="1" customFormat="1" ht="23.1" customHeight="1">
      <c r="A175" s="10" t="s">
        <v>40</v>
      </c>
      <c r="B175" s="10"/>
      <c r="C175" s="10"/>
      <c r="D175" s="10"/>
      <c r="E175" s="107"/>
      <c r="H175" s="22"/>
    </row>
    <row r="176" spans="1:8" s="1" customFormat="1" ht="23.1" customHeight="1">
      <c r="A176" s="101">
        <v>34</v>
      </c>
      <c r="B176" s="8" t="s">
        <v>416</v>
      </c>
      <c r="C176" s="6" t="s">
        <v>138</v>
      </c>
      <c r="D176" s="6" t="s">
        <v>417</v>
      </c>
      <c r="E176" s="115">
        <v>3000000</v>
      </c>
    </row>
    <row r="177" spans="1:5" s="1" customFormat="1" ht="23.1" customHeight="1">
      <c r="A177" s="7"/>
      <c r="B177" s="8"/>
      <c r="C177" s="6" t="s">
        <v>439</v>
      </c>
      <c r="D177" s="6"/>
      <c r="E177" s="115"/>
    </row>
    <row r="178" spans="1:5" s="1" customFormat="1" ht="23.1" customHeight="1">
      <c r="A178" s="7"/>
      <c r="B178" s="8"/>
      <c r="C178" s="6" t="s">
        <v>176</v>
      </c>
      <c r="D178" s="6"/>
      <c r="E178" s="115"/>
    </row>
    <row r="179" spans="1:5" s="1" customFormat="1" ht="23.1" customHeight="1">
      <c r="A179" s="7"/>
      <c r="B179" s="8"/>
      <c r="C179" s="6" t="s">
        <v>435</v>
      </c>
      <c r="D179" s="6"/>
      <c r="E179" s="115"/>
    </row>
    <row r="180" spans="1:5" s="1" customFormat="1" ht="23.1" customHeight="1">
      <c r="A180" s="7"/>
      <c r="B180" s="8"/>
      <c r="C180" s="6" t="s">
        <v>177</v>
      </c>
      <c r="D180" s="6"/>
      <c r="E180" s="115"/>
    </row>
    <row r="181" spans="1:5" s="1" customFormat="1" ht="23.1" customHeight="1">
      <c r="A181" s="7"/>
      <c r="B181" s="8"/>
      <c r="C181" s="6" t="s">
        <v>418</v>
      </c>
      <c r="D181" s="6"/>
      <c r="E181" s="115"/>
    </row>
    <row r="182" spans="1:5" s="1" customFormat="1" ht="23.1" customHeight="1">
      <c r="A182" s="7"/>
      <c r="B182" s="8"/>
      <c r="C182" s="6" t="s">
        <v>84</v>
      </c>
      <c r="D182" s="6"/>
      <c r="E182" s="115"/>
    </row>
    <row r="183" spans="1:5" s="1" customFormat="1" ht="23.1" customHeight="1">
      <c r="A183" s="101">
        <v>35</v>
      </c>
      <c r="B183" s="8" t="s">
        <v>102</v>
      </c>
      <c r="C183" s="6" t="s">
        <v>138</v>
      </c>
      <c r="D183" s="6" t="s">
        <v>197</v>
      </c>
      <c r="E183" s="115">
        <v>5000000</v>
      </c>
    </row>
    <row r="184" spans="1:5" s="1" customFormat="1" ht="23.1" customHeight="1">
      <c r="A184" s="7"/>
      <c r="B184" s="8"/>
      <c r="C184" s="6" t="s">
        <v>476</v>
      </c>
      <c r="D184" s="6"/>
      <c r="E184" s="115"/>
    </row>
    <row r="185" spans="1:5" s="1" customFormat="1" ht="23.1" customHeight="1">
      <c r="A185" s="7"/>
      <c r="B185" s="8"/>
      <c r="C185" s="6" t="s">
        <v>176</v>
      </c>
      <c r="D185" s="6"/>
      <c r="E185" s="115"/>
    </row>
    <row r="186" spans="1:5" s="1" customFormat="1" ht="23.1" customHeight="1">
      <c r="A186" s="7"/>
      <c r="B186" s="8"/>
      <c r="C186" s="6" t="s">
        <v>435</v>
      </c>
      <c r="D186" s="6"/>
      <c r="E186" s="115"/>
    </row>
    <row r="187" spans="1:5" s="1" customFormat="1" ht="23.1" customHeight="1">
      <c r="A187" s="7"/>
      <c r="B187" s="8"/>
      <c r="C187" s="6" t="s">
        <v>419</v>
      </c>
      <c r="D187" s="6"/>
      <c r="E187" s="115"/>
    </row>
    <row r="188" spans="1:5" s="1" customFormat="1" ht="23.1" customHeight="1">
      <c r="A188" s="101">
        <v>36</v>
      </c>
      <c r="B188" s="8" t="s">
        <v>517</v>
      </c>
      <c r="C188" s="6" t="s">
        <v>138</v>
      </c>
      <c r="D188" s="6" t="s">
        <v>518</v>
      </c>
      <c r="E188" s="115">
        <v>5000000</v>
      </c>
    </row>
    <row r="189" spans="1:5" s="1" customFormat="1" ht="23.1" customHeight="1">
      <c r="A189" s="7"/>
      <c r="B189" s="8"/>
      <c r="C189" s="6" t="s">
        <v>476</v>
      </c>
      <c r="D189" s="6" t="s">
        <v>198</v>
      </c>
      <c r="E189" s="115"/>
    </row>
    <row r="190" spans="1:5" s="1" customFormat="1" ht="23.1" customHeight="1">
      <c r="A190" s="7"/>
      <c r="B190" s="8"/>
      <c r="C190" s="6" t="s">
        <v>176</v>
      </c>
      <c r="D190" s="6"/>
      <c r="E190" s="115"/>
    </row>
    <row r="191" spans="1:5" s="1" customFormat="1" ht="23.1" customHeight="1">
      <c r="A191" s="7"/>
      <c r="B191" s="8"/>
      <c r="C191" s="6" t="s">
        <v>435</v>
      </c>
      <c r="D191" s="6"/>
      <c r="E191" s="115"/>
    </row>
    <row r="192" spans="1:5" s="1" customFormat="1" ht="23.1" customHeight="1">
      <c r="A192" s="7"/>
      <c r="B192" s="8"/>
      <c r="C192" s="6" t="s">
        <v>419</v>
      </c>
      <c r="D192" s="6"/>
      <c r="E192" s="115"/>
    </row>
    <row r="193" spans="1:5" s="1" customFormat="1" ht="23.1" customHeight="1">
      <c r="A193" s="101">
        <v>37</v>
      </c>
      <c r="B193" s="8" t="s">
        <v>103</v>
      </c>
      <c r="C193" s="6" t="s">
        <v>138</v>
      </c>
      <c r="D193" s="6" t="s">
        <v>199</v>
      </c>
      <c r="E193" s="115">
        <v>5000000</v>
      </c>
    </row>
    <row r="194" spans="1:5" s="1" customFormat="1" ht="23.1" customHeight="1">
      <c r="A194" s="7"/>
      <c r="B194" s="11"/>
      <c r="C194" s="6" t="s">
        <v>476</v>
      </c>
      <c r="D194" s="14"/>
      <c r="E194" s="115"/>
    </row>
    <row r="195" spans="1:5" s="1" customFormat="1" ht="23.1" customHeight="1">
      <c r="A195" s="7"/>
      <c r="B195" s="11"/>
      <c r="C195" s="6" t="s">
        <v>176</v>
      </c>
      <c r="D195" s="14"/>
      <c r="E195" s="115"/>
    </row>
    <row r="196" spans="1:5" s="1" customFormat="1" ht="23.1" customHeight="1">
      <c r="A196" s="7"/>
      <c r="B196" s="11"/>
      <c r="C196" s="6" t="s">
        <v>435</v>
      </c>
      <c r="D196" s="14"/>
      <c r="E196" s="115"/>
    </row>
    <row r="197" spans="1:5" s="1" customFormat="1" ht="23.1" customHeight="1">
      <c r="A197" s="7"/>
      <c r="B197" s="11"/>
      <c r="C197" s="6" t="s">
        <v>419</v>
      </c>
      <c r="D197" s="14"/>
      <c r="E197" s="115"/>
    </row>
    <row r="198" spans="1:5" s="1" customFormat="1" ht="23.1" customHeight="1">
      <c r="A198" s="101">
        <v>38</v>
      </c>
      <c r="B198" s="11" t="s">
        <v>104</v>
      </c>
      <c r="C198" s="6" t="s">
        <v>139</v>
      </c>
      <c r="D198" s="14" t="s">
        <v>200</v>
      </c>
      <c r="E198" s="115">
        <v>35000000</v>
      </c>
    </row>
    <row r="199" spans="1:5" s="1" customFormat="1" ht="23.1" customHeight="1">
      <c r="A199" s="7"/>
      <c r="B199" s="11"/>
      <c r="C199" s="6" t="s">
        <v>420</v>
      </c>
      <c r="D199" s="14"/>
      <c r="E199" s="115"/>
    </row>
    <row r="200" spans="1:5" s="1" customFormat="1" ht="23.1" customHeight="1">
      <c r="A200" s="7"/>
      <c r="B200" s="11"/>
      <c r="C200" s="6" t="s">
        <v>178</v>
      </c>
      <c r="D200" s="14"/>
      <c r="E200" s="115"/>
    </row>
    <row r="201" spans="1:5" s="1" customFormat="1" ht="23.1" customHeight="1">
      <c r="A201" s="7"/>
      <c r="B201" s="11"/>
      <c r="C201" s="6" t="s">
        <v>456</v>
      </c>
      <c r="D201" s="14"/>
      <c r="E201" s="115"/>
    </row>
    <row r="202" spans="1:5" s="1" customFormat="1" ht="23.1" customHeight="1">
      <c r="A202" s="7"/>
      <c r="B202" s="11"/>
      <c r="C202" s="6" t="s">
        <v>421</v>
      </c>
      <c r="D202" s="14"/>
      <c r="E202" s="115"/>
    </row>
    <row r="203" spans="1:5" s="1" customFormat="1" ht="23.1" customHeight="1">
      <c r="A203" s="101">
        <v>39</v>
      </c>
      <c r="B203" s="8" t="s">
        <v>105</v>
      </c>
      <c r="C203" s="6" t="s">
        <v>141</v>
      </c>
      <c r="D203" s="6" t="s">
        <v>140</v>
      </c>
      <c r="E203" s="115">
        <v>500000</v>
      </c>
    </row>
    <row r="204" spans="1:5" s="1" customFormat="1" ht="23.1" customHeight="1">
      <c r="A204" s="7"/>
      <c r="B204" s="8" t="s">
        <v>36</v>
      </c>
      <c r="C204" s="6" t="s">
        <v>519</v>
      </c>
      <c r="D204" s="6" t="s">
        <v>183</v>
      </c>
      <c r="E204" s="115"/>
    </row>
    <row r="205" spans="1:5" s="1" customFormat="1" ht="23.1" customHeight="1">
      <c r="A205" s="24"/>
      <c r="B205" s="23"/>
      <c r="C205" s="19" t="s">
        <v>179</v>
      </c>
      <c r="D205" s="19"/>
      <c r="E205" s="118"/>
    </row>
    <row r="206" spans="1:5" s="1" customFormat="1" ht="23.1" customHeight="1">
      <c r="A206" s="28"/>
      <c r="B206" s="30"/>
      <c r="C206" s="15"/>
      <c r="D206" s="15"/>
      <c r="E206" s="117"/>
    </row>
    <row r="207" spans="1:5" s="1" customFormat="1" ht="23.1" customHeight="1">
      <c r="A207" s="387" t="s">
        <v>510</v>
      </c>
      <c r="B207" s="387"/>
      <c r="C207" s="387"/>
      <c r="D207" s="387"/>
      <c r="E207" s="387"/>
    </row>
    <row r="208" spans="1:5" s="1" customFormat="1" ht="23.1" customHeight="1">
      <c r="A208" s="9" t="s">
        <v>41</v>
      </c>
      <c r="B208" s="9" t="s">
        <v>28</v>
      </c>
      <c r="C208" s="9" t="s">
        <v>29</v>
      </c>
      <c r="D208" s="9" t="s">
        <v>30</v>
      </c>
      <c r="E208" s="106" t="s">
        <v>31</v>
      </c>
    </row>
    <row r="209" spans="1:8" s="1" customFormat="1" ht="23.1" customHeight="1">
      <c r="A209" s="10" t="s">
        <v>40</v>
      </c>
      <c r="B209" s="10"/>
      <c r="C209" s="10"/>
      <c r="D209" s="10"/>
      <c r="E209" s="107"/>
      <c r="H209" s="22"/>
    </row>
    <row r="210" spans="1:8" s="1" customFormat="1" ht="23.1" customHeight="1">
      <c r="A210" s="101">
        <v>40</v>
      </c>
      <c r="B210" s="8" t="s">
        <v>106</v>
      </c>
      <c r="C210" s="6" t="s">
        <v>141</v>
      </c>
      <c r="D210" s="6" t="s">
        <v>201</v>
      </c>
      <c r="E210" s="115">
        <v>500000</v>
      </c>
    </row>
    <row r="211" spans="1:8" s="1" customFormat="1" ht="23.1" customHeight="1">
      <c r="A211" s="7"/>
      <c r="B211" s="8"/>
      <c r="C211" s="6" t="s">
        <v>519</v>
      </c>
      <c r="D211" s="6"/>
      <c r="E211" s="115"/>
    </row>
    <row r="212" spans="1:8" s="1" customFormat="1" ht="23.1" customHeight="1">
      <c r="A212" s="7"/>
      <c r="B212" s="8"/>
      <c r="C212" s="6" t="s">
        <v>179</v>
      </c>
      <c r="D212" s="6"/>
      <c r="E212" s="115"/>
    </row>
    <row r="213" spans="1:8" s="1" customFormat="1" ht="23.1" customHeight="1">
      <c r="A213" s="101">
        <v>41</v>
      </c>
      <c r="B213" s="8" t="s">
        <v>107</v>
      </c>
      <c r="C213" s="6" t="s">
        <v>142</v>
      </c>
      <c r="D213" s="6" t="s">
        <v>145</v>
      </c>
      <c r="E213" s="115">
        <v>5000000</v>
      </c>
    </row>
    <row r="214" spans="1:8" s="1" customFormat="1" ht="23.1" customHeight="1">
      <c r="A214" s="7"/>
      <c r="B214" s="8"/>
      <c r="C214" s="6" t="s">
        <v>143</v>
      </c>
      <c r="D214" s="6" t="s">
        <v>202</v>
      </c>
      <c r="E214" s="115"/>
    </row>
    <row r="215" spans="1:8" s="1" customFormat="1" ht="23.1" customHeight="1">
      <c r="A215" s="7"/>
      <c r="B215" s="8"/>
      <c r="C215" s="6" t="s">
        <v>144</v>
      </c>
      <c r="D215" s="6"/>
      <c r="E215" s="115"/>
    </row>
    <row r="216" spans="1:8" s="1" customFormat="1" ht="23.1" customHeight="1">
      <c r="A216" s="7"/>
      <c r="B216" s="8"/>
      <c r="C216" s="6" t="s">
        <v>520</v>
      </c>
      <c r="D216" s="6"/>
      <c r="E216" s="115"/>
    </row>
    <row r="217" spans="1:8" s="1" customFormat="1" ht="23.1" customHeight="1">
      <c r="A217" s="101">
        <v>42</v>
      </c>
      <c r="B217" s="8" t="s">
        <v>108</v>
      </c>
      <c r="C217" s="6" t="s">
        <v>142</v>
      </c>
      <c r="D217" s="6" t="s">
        <v>203</v>
      </c>
      <c r="E217" s="115">
        <v>800000</v>
      </c>
    </row>
    <row r="218" spans="1:8" s="1" customFormat="1" ht="23.1" customHeight="1">
      <c r="A218" s="7"/>
      <c r="B218" s="8"/>
      <c r="C218" s="6" t="s">
        <v>146</v>
      </c>
      <c r="D218" s="6"/>
      <c r="E218" s="115"/>
    </row>
    <row r="219" spans="1:8" s="1" customFormat="1" ht="23.1" customHeight="1">
      <c r="A219" s="7"/>
      <c r="B219" s="8"/>
      <c r="C219" s="13" t="s">
        <v>147</v>
      </c>
      <c r="D219" s="6"/>
      <c r="E219" s="115"/>
    </row>
    <row r="220" spans="1:8" s="1" customFormat="1" ht="23.1" customHeight="1">
      <c r="A220" s="7"/>
      <c r="B220" s="8"/>
      <c r="C220" s="6" t="s">
        <v>477</v>
      </c>
      <c r="D220" s="6"/>
      <c r="E220" s="115"/>
    </row>
    <row r="221" spans="1:8" s="1" customFormat="1" ht="23.1" customHeight="1">
      <c r="A221" s="7"/>
      <c r="B221" s="8"/>
      <c r="C221" s="6" t="s">
        <v>440</v>
      </c>
      <c r="D221" s="6"/>
      <c r="E221" s="115"/>
    </row>
    <row r="222" spans="1:8" s="1" customFormat="1" ht="23.1" customHeight="1">
      <c r="A222" s="101">
        <v>43</v>
      </c>
      <c r="B222" s="8" t="s">
        <v>441</v>
      </c>
      <c r="C222" s="6" t="s">
        <v>148</v>
      </c>
      <c r="D222" s="6" t="s">
        <v>442</v>
      </c>
      <c r="E222" s="115">
        <v>200000</v>
      </c>
    </row>
    <row r="223" spans="1:8" s="1" customFormat="1" ht="23.1" customHeight="1">
      <c r="A223" s="7"/>
      <c r="B223" s="8"/>
      <c r="C223" s="6" t="s">
        <v>493</v>
      </c>
      <c r="D223" s="6" t="s">
        <v>149</v>
      </c>
      <c r="E223" s="115"/>
    </row>
    <row r="224" spans="1:8" s="1" customFormat="1" ht="23.1" customHeight="1">
      <c r="A224" s="101">
        <v>44</v>
      </c>
      <c r="B224" s="8" t="s">
        <v>443</v>
      </c>
      <c r="C224" s="6" t="s">
        <v>148</v>
      </c>
      <c r="D224" s="6" t="s">
        <v>444</v>
      </c>
      <c r="E224" s="115">
        <v>200000</v>
      </c>
    </row>
    <row r="225" spans="1:5" s="1" customFormat="1" ht="23.1" customHeight="1">
      <c r="A225" s="7"/>
      <c r="B225" s="8"/>
      <c r="C225" s="6" t="s">
        <v>493</v>
      </c>
      <c r="D225" s="6" t="s">
        <v>149</v>
      </c>
      <c r="E225" s="115"/>
    </row>
    <row r="226" spans="1:5" s="1" customFormat="1" ht="23.1" customHeight="1">
      <c r="A226" s="101">
        <v>45</v>
      </c>
      <c r="B226" s="8" t="s">
        <v>445</v>
      </c>
      <c r="C226" s="6" t="s">
        <v>148</v>
      </c>
      <c r="D226" s="6" t="s">
        <v>446</v>
      </c>
      <c r="E226" s="115">
        <v>200000</v>
      </c>
    </row>
    <row r="227" spans="1:5" s="1" customFormat="1" ht="23.1" customHeight="1">
      <c r="A227" s="7"/>
      <c r="B227" s="8"/>
      <c r="C227" s="6" t="s">
        <v>493</v>
      </c>
      <c r="D227" s="6" t="s">
        <v>149</v>
      </c>
      <c r="E227" s="115"/>
    </row>
    <row r="228" spans="1:5" s="1" customFormat="1" ht="23.1" customHeight="1">
      <c r="A228" s="101">
        <v>46</v>
      </c>
      <c r="B228" s="8" t="s">
        <v>457</v>
      </c>
      <c r="C228" s="6" t="s">
        <v>148</v>
      </c>
      <c r="D228" s="6" t="s">
        <v>458</v>
      </c>
      <c r="E228" s="115">
        <v>200000</v>
      </c>
    </row>
    <row r="229" spans="1:5" s="1" customFormat="1" ht="23.1" customHeight="1">
      <c r="A229" s="7"/>
      <c r="B229" s="8"/>
      <c r="C229" s="6" t="s">
        <v>493</v>
      </c>
      <c r="D229" s="6" t="s">
        <v>149</v>
      </c>
      <c r="E229" s="115"/>
    </row>
    <row r="230" spans="1:5" s="1" customFormat="1" ht="23.1" customHeight="1">
      <c r="A230" s="101">
        <v>47</v>
      </c>
      <c r="B230" s="8" t="s">
        <v>478</v>
      </c>
      <c r="C230" s="6" t="s">
        <v>148</v>
      </c>
      <c r="D230" s="6" t="s">
        <v>479</v>
      </c>
      <c r="E230" s="115">
        <v>200000</v>
      </c>
    </row>
    <row r="231" spans="1:5" s="1" customFormat="1" ht="23.1" customHeight="1">
      <c r="A231" s="7"/>
      <c r="B231" s="8"/>
      <c r="C231" s="6" t="s">
        <v>493</v>
      </c>
      <c r="D231" s="6" t="s">
        <v>149</v>
      </c>
      <c r="E231" s="115"/>
    </row>
    <row r="232" spans="1:5" s="1" customFormat="1" ht="23.1" customHeight="1">
      <c r="A232" s="101">
        <v>48</v>
      </c>
      <c r="B232" s="8" t="s">
        <v>494</v>
      </c>
      <c r="C232" s="6" t="s">
        <v>148</v>
      </c>
      <c r="D232" s="6" t="s">
        <v>495</v>
      </c>
      <c r="E232" s="115">
        <v>200000</v>
      </c>
    </row>
    <row r="233" spans="1:5" s="1" customFormat="1" ht="23.1" customHeight="1">
      <c r="A233" s="7"/>
      <c r="B233" s="8"/>
      <c r="C233" s="6" t="s">
        <v>493</v>
      </c>
      <c r="D233" s="6" t="s">
        <v>149</v>
      </c>
      <c r="E233" s="115"/>
    </row>
    <row r="234" spans="1:5" s="1" customFormat="1" ht="23.1" customHeight="1">
      <c r="A234" s="101">
        <v>49</v>
      </c>
      <c r="B234" s="8" t="s">
        <v>109</v>
      </c>
      <c r="C234" s="6" t="s">
        <v>148</v>
      </c>
      <c r="D234" s="6" t="s">
        <v>204</v>
      </c>
      <c r="E234" s="115">
        <v>200000</v>
      </c>
    </row>
    <row r="235" spans="1:5" s="1" customFormat="1" ht="23.1" customHeight="1">
      <c r="A235" s="7"/>
      <c r="B235" s="8"/>
      <c r="C235" s="6" t="s">
        <v>493</v>
      </c>
      <c r="D235" s="6"/>
      <c r="E235" s="115"/>
    </row>
    <row r="236" spans="1:5" s="1" customFormat="1" ht="23.1" customHeight="1">
      <c r="A236" s="101">
        <v>50</v>
      </c>
      <c r="B236" s="8" t="s">
        <v>110</v>
      </c>
      <c r="C236" s="6" t="s">
        <v>150</v>
      </c>
      <c r="D236" s="6" t="s">
        <v>151</v>
      </c>
      <c r="E236" s="115">
        <v>5000000</v>
      </c>
    </row>
    <row r="237" spans="1:5" s="1" customFormat="1" ht="23.1" customHeight="1">
      <c r="A237" s="7"/>
      <c r="B237" s="8" t="s">
        <v>37</v>
      </c>
      <c r="C237" s="6" t="s">
        <v>496</v>
      </c>
      <c r="D237" s="6" t="s">
        <v>205</v>
      </c>
      <c r="E237" s="115"/>
    </row>
    <row r="238" spans="1:5" s="1" customFormat="1" ht="23.1" customHeight="1">
      <c r="A238" s="7"/>
      <c r="B238" s="8"/>
      <c r="C238" s="6" t="s">
        <v>436</v>
      </c>
      <c r="D238" s="6"/>
      <c r="E238" s="115"/>
    </row>
    <row r="239" spans="1:5" s="1" customFormat="1" ht="23.1" customHeight="1">
      <c r="A239" s="24"/>
      <c r="B239" s="23"/>
      <c r="C239" s="19" t="s">
        <v>437</v>
      </c>
      <c r="D239" s="19"/>
      <c r="E239" s="118"/>
    </row>
    <row r="240" spans="1:5" s="1" customFormat="1" ht="23.1" customHeight="1">
      <c r="A240" s="28"/>
      <c r="B240" s="30"/>
      <c r="C240" s="15"/>
      <c r="D240" s="15"/>
      <c r="E240" s="117"/>
    </row>
    <row r="241" spans="1:8" s="1" customFormat="1" ht="23.1" customHeight="1">
      <c r="A241" s="387" t="s">
        <v>521</v>
      </c>
      <c r="B241" s="387"/>
      <c r="C241" s="387"/>
      <c r="D241" s="387"/>
      <c r="E241" s="387"/>
    </row>
    <row r="242" spans="1:8" s="1" customFormat="1" ht="23.1" customHeight="1">
      <c r="A242" s="9" t="s">
        <v>41</v>
      </c>
      <c r="B242" s="9" t="s">
        <v>28</v>
      </c>
      <c r="C242" s="9" t="s">
        <v>29</v>
      </c>
      <c r="D242" s="9" t="s">
        <v>30</v>
      </c>
      <c r="E242" s="106" t="s">
        <v>31</v>
      </c>
    </row>
    <row r="243" spans="1:8" s="1" customFormat="1" ht="23.1" customHeight="1">
      <c r="A243" s="10" t="s">
        <v>40</v>
      </c>
      <c r="B243" s="10"/>
      <c r="C243" s="10"/>
      <c r="D243" s="10"/>
      <c r="E243" s="107"/>
      <c r="H243" s="22"/>
    </row>
    <row r="244" spans="1:8" s="1" customFormat="1" ht="23.1" customHeight="1">
      <c r="A244" s="101">
        <v>51</v>
      </c>
      <c r="B244" s="8" t="s">
        <v>154</v>
      </c>
      <c r="C244" s="12" t="s">
        <v>162</v>
      </c>
      <c r="D244" s="12" t="s">
        <v>187</v>
      </c>
      <c r="E244" s="115">
        <v>1850000</v>
      </c>
    </row>
    <row r="245" spans="1:8" s="1" customFormat="1" ht="23.1" customHeight="1">
      <c r="A245" s="7"/>
      <c r="B245" s="8" t="s">
        <v>156</v>
      </c>
      <c r="C245" s="6" t="s">
        <v>480</v>
      </c>
      <c r="D245" s="6"/>
      <c r="E245" s="115"/>
    </row>
    <row r="246" spans="1:8" s="1" customFormat="1" ht="23.1" customHeight="1">
      <c r="A246" s="7"/>
      <c r="B246" s="8" t="s">
        <v>152</v>
      </c>
      <c r="C246" s="6" t="s">
        <v>163</v>
      </c>
      <c r="D246" s="6"/>
      <c r="E246" s="115"/>
    </row>
    <row r="247" spans="1:8" s="1" customFormat="1" ht="23.1" customHeight="1">
      <c r="A247" s="7"/>
      <c r="B247" s="8"/>
      <c r="C247" s="6" t="s">
        <v>459</v>
      </c>
      <c r="D247" s="6"/>
      <c r="E247" s="115"/>
    </row>
    <row r="248" spans="1:8" s="1" customFormat="1" ht="23.1" customHeight="1">
      <c r="A248" s="100">
        <v>52</v>
      </c>
      <c r="B248" s="8" t="s">
        <v>154</v>
      </c>
      <c r="C248" s="12" t="s">
        <v>162</v>
      </c>
      <c r="D248" s="12" t="s">
        <v>188</v>
      </c>
      <c r="E248" s="115">
        <v>350000</v>
      </c>
    </row>
    <row r="249" spans="1:8" s="1" customFormat="1" ht="23.1" customHeight="1">
      <c r="A249" s="7"/>
      <c r="B249" s="8" t="s">
        <v>155</v>
      </c>
      <c r="C249" s="6" t="s">
        <v>447</v>
      </c>
      <c r="D249" s="6"/>
      <c r="E249" s="115"/>
    </row>
    <row r="250" spans="1:8" s="1" customFormat="1" ht="23.1" customHeight="1">
      <c r="A250" s="100">
        <v>53</v>
      </c>
      <c r="B250" s="8" t="s">
        <v>154</v>
      </c>
      <c r="C250" s="12" t="s">
        <v>162</v>
      </c>
      <c r="D250" s="12" t="s">
        <v>189</v>
      </c>
      <c r="E250" s="115">
        <v>350000</v>
      </c>
    </row>
    <row r="251" spans="1:8" s="1" customFormat="1" ht="23.1" customHeight="1">
      <c r="A251" s="7"/>
      <c r="B251" s="8" t="s">
        <v>153</v>
      </c>
      <c r="C251" s="6" t="s">
        <v>447</v>
      </c>
      <c r="D251" s="3"/>
      <c r="E251" s="115"/>
    </row>
    <row r="252" spans="1:8" s="1" customFormat="1" ht="23.1" customHeight="1">
      <c r="A252" s="100">
        <v>54</v>
      </c>
      <c r="B252" s="8" t="s">
        <v>154</v>
      </c>
      <c r="C252" s="12" t="s">
        <v>162</v>
      </c>
      <c r="D252" s="12" t="s">
        <v>190</v>
      </c>
      <c r="E252" s="115">
        <v>350000</v>
      </c>
    </row>
    <row r="253" spans="1:8" s="1" customFormat="1" ht="23.1" customHeight="1">
      <c r="A253" s="7"/>
      <c r="B253" s="8" t="s">
        <v>157</v>
      </c>
      <c r="C253" s="6" t="s">
        <v>447</v>
      </c>
      <c r="D253" s="3"/>
      <c r="E253" s="114"/>
    </row>
    <row r="254" spans="1:8" s="1" customFormat="1" ht="23.1" customHeight="1">
      <c r="A254" s="100">
        <v>55</v>
      </c>
      <c r="B254" s="8" t="s">
        <v>154</v>
      </c>
      <c r="C254" s="12" t="s">
        <v>162</v>
      </c>
      <c r="D254" s="12" t="s">
        <v>191</v>
      </c>
      <c r="E254" s="115">
        <v>350000</v>
      </c>
    </row>
    <row r="255" spans="1:8" s="1" customFormat="1" ht="23.1" customHeight="1">
      <c r="A255" s="7"/>
      <c r="B255" s="8" t="s">
        <v>158</v>
      </c>
      <c r="C255" s="6" t="s">
        <v>447</v>
      </c>
      <c r="D255" s="6"/>
      <c r="E255" s="115"/>
    </row>
    <row r="256" spans="1:8" s="1" customFormat="1" ht="23.1" customHeight="1">
      <c r="A256" s="101">
        <v>56</v>
      </c>
      <c r="B256" s="8" t="s">
        <v>154</v>
      </c>
      <c r="C256" s="12" t="s">
        <v>162</v>
      </c>
      <c r="D256" s="12" t="s">
        <v>192</v>
      </c>
      <c r="E256" s="115">
        <v>350000</v>
      </c>
    </row>
    <row r="257" spans="1:5" s="1" customFormat="1" ht="23.1" customHeight="1">
      <c r="A257" s="7"/>
      <c r="B257" s="8" t="s">
        <v>159</v>
      </c>
      <c r="C257" s="6" t="s">
        <v>447</v>
      </c>
      <c r="D257" s="6"/>
      <c r="E257" s="115"/>
    </row>
    <row r="258" spans="1:5" s="1" customFormat="1" ht="23.1" customHeight="1">
      <c r="A258" s="100">
        <v>57</v>
      </c>
      <c r="B258" s="8" t="s">
        <v>154</v>
      </c>
      <c r="C258" s="12" t="s">
        <v>162</v>
      </c>
      <c r="D258" s="12" t="s">
        <v>193</v>
      </c>
      <c r="E258" s="115">
        <v>350000</v>
      </c>
    </row>
    <row r="259" spans="1:5" s="1" customFormat="1" ht="23.1" customHeight="1">
      <c r="A259" s="7"/>
      <c r="B259" s="8" t="s">
        <v>160</v>
      </c>
      <c r="C259" s="6" t="s">
        <v>447</v>
      </c>
      <c r="D259" s="6"/>
      <c r="E259" s="115"/>
    </row>
    <row r="260" spans="1:5" s="1" customFormat="1" ht="23.1" customHeight="1">
      <c r="A260" s="100">
        <v>58</v>
      </c>
      <c r="B260" s="8" t="s">
        <v>154</v>
      </c>
      <c r="C260" s="12" t="s">
        <v>162</v>
      </c>
      <c r="D260" s="12" t="s">
        <v>194</v>
      </c>
      <c r="E260" s="115">
        <v>350000</v>
      </c>
    </row>
    <row r="261" spans="1:5" s="1" customFormat="1" ht="23.1" customHeight="1">
      <c r="A261" s="7"/>
      <c r="B261" s="8" t="s">
        <v>161</v>
      </c>
      <c r="C261" s="6" t="s">
        <v>447</v>
      </c>
      <c r="D261" s="3"/>
      <c r="E261" s="115"/>
    </row>
    <row r="262" spans="1:5" s="1" customFormat="1" ht="23.1" customHeight="1">
      <c r="A262" s="26"/>
      <c r="B262" s="26"/>
      <c r="C262" s="26"/>
      <c r="D262" s="26"/>
      <c r="E262" s="116"/>
    </row>
    <row r="263" spans="1:5" s="1" customFormat="1" ht="23.1" customHeight="1">
      <c r="A263" s="3"/>
      <c r="B263" s="3"/>
      <c r="C263" s="3"/>
      <c r="D263" s="3"/>
      <c r="E263" s="114"/>
    </row>
    <row r="264" spans="1:5" s="1" customFormat="1" ht="23.1" customHeight="1">
      <c r="A264" s="3"/>
      <c r="B264" s="27" t="s">
        <v>221</v>
      </c>
      <c r="C264" s="3"/>
      <c r="D264" s="3"/>
      <c r="E264" s="123">
        <f>SUM(E6:E34,E39:E68,E73:E103,E108:E136,E142:E171,E176:E205,E210:E239,E244:E262)</f>
        <v>216663300</v>
      </c>
    </row>
    <row r="265" spans="1:5" s="1" customFormat="1" ht="23.1" customHeight="1">
      <c r="A265" s="26"/>
      <c r="B265" s="26"/>
      <c r="C265" s="26"/>
      <c r="D265" s="26"/>
      <c r="E265" s="116"/>
    </row>
    <row r="266" spans="1:5" s="1" customFormat="1" ht="23.1" customHeight="1">
      <c r="A266" s="2"/>
      <c r="B266" s="2"/>
      <c r="C266" s="2"/>
      <c r="D266" s="2"/>
      <c r="E266" s="124"/>
    </row>
    <row r="267" spans="1:5" s="1" customFormat="1" ht="23.1" customHeight="1">
      <c r="A267" s="2"/>
      <c r="B267" s="2"/>
      <c r="C267" s="2"/>
      <c r="D267" s="2"/>
      <c r="E267" s="124"/>
    </row>
    <row r="268" spans="1:5" s="1" customFormat="1" ht="23.1" customHeight="1">
      <c r="A268" s="2"/>
      <c r="B268" s="2"/>
      <c r="C268" s="2"/>
      <c r="D268" s="2"/>
      <c r="E268" s="124"/>
    </row>
    <row r="269" spans="1:5" s="1" customFormat="1" ht="23.1" customHeight="1">
      <c r="A269" s="2"/>
      <c r="B269" s="2"/>
      <c r="C269" s="389" t="s">
        <v>164</v>
      </c>
      <c r="D269" s="389"/>
      <c r="E269" s="389"/>
    </row>
    <row r="270" spans="1:5" s="1" customFormat="1" ht="23.1" customHeight="1">
      <c r="A270" s="2"/>
      <c r="B270" s="2"/>
      <c r="C270" s="389" t="s">
        <v>56</v>
      </c>
      <c r="D270" s="389"/>
      <c r="E270" s="389"/>
    </row>
    <row r="271" spans="1:5" s="1" customFormat="1" ht="23.1" customHeight="1">
      <c r="A271" s="2"/>
      <c r="B271" s="2"/>
      <c r="C271" s="2"/>
      <c r="D271" s="2"/>
      <c r="E271" s="124"/>
    </row>
    <row r="272" spans="1:5" s="1" customFormat="1" ht="23.1" customHeight="1">
      <c r="A272" s="2"/>
      <c r="B272" s="2"/>
      <c r="C272" s="2"/>
      <c r="D272" s="2"/>
      <c r="E272" s="124"/>
    </row>
  </sheetData>
  <mergeCells count="12">
    <mergeCell ref="C269:E269"/>
    <mergeCell ref="C270:E270"/>
    <mergeCell ref="A105:E105"/>
    <mergeCell ref="A139:E139"/>
    <mergeCell ref="A173:E173"/>
    <mergeCell ref="A241:E241"/>
    <mergeCell ref="A70:E70"/>
    <mergeCell ref="A207:E207"/>
    <mergeCell ref="A36:E36"/>
    <mergeCell ref="A1:E1"/>
    <mergeCell ref="A2:E2"/>
    <mergeCell ref="A3:E3"/>
  </mergeCells>
  <phoneticPr fontId="3" type="noConversion"/>
  <pageMargins left="0.39" right="0.25" top="1" bottom="1" header="0.5" footer="0.5"/>
  <pageSetup paperSize="9" scale="9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E7:F26"/>
  <sheetViews>
    <sheetView workbookViewId="0">
      <selection activeCell="K34" sqref="K34"/>
    </sheetView>
  </sheetViews>
  <sheetFormatPr defaultRowHeight="12.75"/>
  <sheetData>
    <row r="7" spans="5:5">
      <c r="E7" s="94"/>
    </row>
    <row r="8" spans="5:5">
      <c r="E8" s="94"/>
    </row>
    <row r="9" spans="5:5">
      <c r="E9" s="94"/>
    </row>
    <row r="10" spans="5:5">
      <c r="E10" s="94"/>
    </row>
    <row r="11" spans="5:5">
      <c r="E11" s="94"/>
    </row>
    <row r="12" spans="5:5">
      <c r="E12" s="94"/>
    </row>
    <row r="13" spans="5:5">
      <c r="E13" s="94"/>
    </row>
    <row r="14" spans="5:5">
      <c r="E14" s="94"/>
    </row>
    <row r="15" spans="5:5">
      <c r="E15" s="94"/>
    </row>
    <row r="16" spans="5:5">
      <c r="E16" s="94"/>
    </row>
    <row r="24" spans="5:6">
      <c r="E24">
        <v>12345</v>
      </c>
      <c r="F24" s="94">
        <v>12345</v>
      </c>
    </row>
    <row r="26" spans="5:6">
      <c r="F26" s="94">
        <f>E24+F24</f>
        <v>24690</v>
      </c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สิ่งที่ส่งมาด้วย 1</vt:lpstr>
      <vt:lpstr>สิ่งที่ส่งมาด้วย 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 aki</cp:lastModifiedBy>
  <cp:lastPrinted>2011-12-02T02:21:32Z</cp:lastPrinted>
  <dcterms:created xsi:type="dcterms:W3CDTF">1996-10-14T23:33:28Z</dcterms:created>
  <dcterms:modified xsi:type="dcterms:W3CDTF">2011-12-02T02:21:43Z</dcterms:modified>
</cp:coreProperties>
</file>